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 activeTab="2"/>
  </bookViews>
  <sheets>
    <sheet name="投资仪表盘" sheetId="1" r:id="rId1"/>
    <sheet name="参数设置" sheetId="2" r:id="rId2"/>
    <sheet name="交易记录" sheetId="3" r:id="rId3"/>
    <sheet name="持仓汇总" sheetId="4" r:id="rId4"/>
    <sheet name="本月3000HKD执行计划" sheetId="5" r:id="rId5"/>
    <sheet name="使用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<sst xmlns="http://schemas.openxmlformats.org/spreadsheetml/2006/main" count="67" uniqueCount="42">
  <si>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美股ETF投资仪表盘</t>
  </si>
  <si>
    <t>总投入USD</t>
  </si>
  <si>
    <t>当前市值USD</t>
  </si>
  <si>
    <t>总盈亏USD</t>
  </si>
  <si>
    <t/>
  </si>
  <si>
    <t>ETF</t>
  </si>
  <si>
    <t>当前比例</t>
  </si>
  <si>
    <t>目标比例</t>
  </si>
  <si>
    <t>状态</t>
  </si>
  <si>
    <t>项目</t>
  </si>
  <si>
    <t>数值</t>
  </si>
  <si>
    <t>USD/HKD汇率</t>
  </si>
  <si>
    <t>每月投入HKD</t>
  </si>
  <si>
    <t>VOO目标比例</t>
  </si>
  <si>
    <t>QQQM目标比例</t>
  </si>
  <si>
    <t>BOTZ目标比例</t>
  </si>
  <si>
    <t>TQQQ目标比例</t>
  </si>
  <si>
    <t>日期</t>
  </si>
  <si>
    <t>投入HKD</t>
  </si>
  <si>
    <t>汇率</t>
  </si>
  <si>
    <t>投入USD</t>
  </si>
  <si>
    <t>买入价格USD</t>
  </si>
  <si>
    <t>买入份额</t>
  </si>
  <si>
    <t>QQQM</t>
  </si>
  <si>
    <t>VOO</t>
  </si>
  <si>
    <t>BOTZ</t>
  </si>
  <si>
    <t>TQQQ</t>
  </si>
  <si>
    <t>成本USD</t>
  </si>
  <si>
    <t>份额</t>
  </si>
  <si>
    <t>当前价格USD</t>
  </si>
  <si>
    <t>市值USD</t>
  </si>
  <si>
    <t>实际比例</t>
  </si>
  <si>
    <t>偏差</t>
  </si>
  <si>
    <t>低配差值</t>
  </si>
  <si>
    <t>建议金额HKD</t>
  </si>
  <si>
    <t>动作</t>
  </si>
  <si>
    <t>HKD</t>
  </si>
  <si>
    <t>V5.4仪表盘版</t>
  </si>
  <si>
    <t>1. 交易记录输入买入。</t>
  </si>
  <si>
    <t>2. 持仓汇总更新当前价格。</t>
  </si>
  <si>
    <t>3. 仪表盘查看组合状态。</t>
  </si>
  <si>
    <t>4. 执行计划查看3000HKD分配。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</si>
</sst>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-\$#,##0.0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 applyFont="1" applyFill="1" applyAlignment="1"/>
    <xf numFmtId="176" fontId="1" fillId="0" borderId="0" xfId="0" applyNumberFormat="1" applyFont="1"/>
    <xf numFmtId="177" fontId="2" fillId="0" borderId="0" xfId="0" applyNumberFormat="1" applyFont="1" applyFill="1" applyAlignment="1">
      <alignment horizontal="center"/>
    </xf>
    <xf numFmtId="176" fontId="0" fillId="0" borderId="0" xfId="0" applyNumberFormat="1" applyFont="1" applyFill="1" applyAlignmen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58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当前ETF仓位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投资仪表盘!$B$6</c:f>
              <c:strCache>
                <c:ptCount val="1"/>
                <c:pt idx="0">
                  <c:v>当前比例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投资仪表盘!$A$7:$A$10</c:f>
              <c:strCache>
                <c:ptCount val="4"/>
                <c:pt idx="0">
                  <c:v>VOO</c:v>
                </c:pt>
                <c:pt idx="1">
                  <c:v>QQQM</c:v>
                </c:pt>
                <c:pt idx="2">
                  <c:v>BOTZ</c:v>
                </c:pt>
                <c:pt idx="3">
                  <c:v>TQQQ</c:v>
                </c:pt>
              </c:strCache>
            </c:strRef>
          </c:cat>
          <c:val>
            <c:numRef>
              <c:f>投资仪表盘!$B$7:$B$10</c:f>
              <c:numCache>
                <c:formatCode>General</c:formatCode>
                <c:ptCount val="4"/>
                <c:pt idx="0">
                  <c:v>0.174307418927337</c:v>
                </c:pt>
                <c:pt idx="1">
                  <c:v>0.701188175551174</c:v>
                </c:pt>
                <c:pt idx="2">
                  <c:v>0.0735682158189545</c:v>
                </c:pt>
                <c:pt idx="3">
                  <c:v>0.0509361897025352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a1f130-dd33-4f52-bd12-12d300be6ff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5</xdr:row>
      <xdr:rowOff>0</xdr:rowOff>
    </xdr:from>
    <xdr:ext cx="5400000" cy="2433300"/>
    <xdr:graphicFrame>
      <xdr:nvGraphicFramePr>
        <xdr:cNvPr id="2" name="Chart 1"/>
        <xdr:cNvGraphicFramePr/>
      </xdr:nvGraphicFramePr>
      <xdr:xfrm>
        <a:off x="6172200" y="857250"/>
        <a:ext cx="5399405" cy="2432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8" sqref="D18"/>
    </sheetView>
  </sheetViews>
  <sheetFormatPr defaultColWidth="9" defaultRowHeight="13.5" outlineLevelCol="3"/>
  <cols>
    <col min="1" max="4" width="18" customWidth="1"/>
  </cols>
  <sheetData>
    <row r="1" spans="1:4">
      <c r="A1" s="1" t="s">
        <v>0</v>
      </c>
      <c r="B1" s="1"/>
      <c r="C1" s="1"/>
      <c r="D1" s="1"/>
    </row>
    <row r="2" spans="1:4">
      <c r="A2" t="s">
        <v>1</v>
      </c>
      <c r="B2">
        <f>SUM(持仓汇总!B2:B5)</f>
        <v>1755.77</v>
      </c>
    </row>
    <row r="3" spans="1:4">
      <c r="A3" t="s">
        <v>2</v>
      </c>
      <c r="B3">
        <f>SUM(持仓汇总!E2:E5)</f>
        <v>1722.61610320153</v>
      </c>
    </row>
    <row r="4" spans="1:4">
      <c r="A4" t="s">
        <v>3</v>
      </c>
      <c r="B4">
        <f>B3-B2</f>
        <v>-33.1538967984707</v>
      </c>
    </row>
    <row r="5" spans="1:4">
      <c r="A5" t="s">
        <v>4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tr">
        <f>持仓汇总!A2</f>
        <v>VOO</v>
      </c>
      <c r="B7">
        <f>持仓汇总!F2</f>
        <v>0.174307418927337</v>
      </c>
      <c r="C7">
        <f>持仓汇总!G2</f>
        <v>0.4</v>
      </c>
      <c r="D7" t="str">
        <f>IF(B7&lt;C7-0.03,"低配补仓",IF(B7&gt;C7+0.03,"高配减少","正常"))</f>
        <v>低配补仓</v>
      </c>
    </row>
    <row r="8" spans="1:4">
      <c r="A8" t="str">
        <f>持仓汇总!A3</f>
        <v>QQQM</v>
      </c>
      <c r="B8">
        <f>持仓汇总!F3</f>
        <v>0.701188175551174</v>
      </c>
      <c r="C8">
        <f>持仓汇总!G3</f>
        <v>0.35</v>
      </c>
      <c r="D8" t="str">
        <f>IF(B8&lt;C8-0.03,"低配补仓",IF(B8&gt;C8+0.03,"高配减少","正常"))</f>
        <v>高配减少</v>
      </c>
    </row>
    <row r="9" spans="1:4">
      <c r="A9" t="str">
        <f>持仓汇总!A4</f>
        <v>BOTZ</v>
      </c>
      <c r="B9">
        <f>持仓汇总!F4</f>
        <v>0.0735682158189545</v>
      </c>
      <c r="C9">
        <f>持仓汇总!G4</f>
        <v>0.15</v>
      </c>
      <c r="D9" t="str">
        <f>IF(B9&lt;C9-0.03,"低配补仓",IF(B9&gt;C9+0.03,"高配减少","正常"))</f>
        <v>低配补仓</v>
      </c>
    </row>
    <row r="10" spans="1:4">
      <c r="A10" t="str">
        <f>持仓汇总!A5</f>
        <v>TQQQ</v>
      </c>
      <c r="B10">
        <f>持仓汇总!F5</f>
        <v>0.0509361897025352</v>
      </c>
      <c r="C10">
        <f>持仓汇总!G5</f>
        <v>0.05</v>
      </c>
      <c r="D10" t="str">
        <f>IF(B10&lt;C10-0.03,"低配补仓",IF(B10&gt;C10+0.03,"高配减少","正常"))</f>
        <v>正常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cols>
    <col min="1" max="2" width="18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>
        <v>7.8</v>
      </c>
    </row>
    <row r="3" spans="1:2">
      <c r="A3" t="s">
        <v>12</v>
      </c>
      <c r="B3">
        <v>3000</v>
      </c>
    </row>
    <row r="4" spans="1:2">
      <c r="A4" t="s">
        <v>13</v>
      </c>
      <c r="B4">
        <v>0.4</v>
      </c>
    </row>
    <row r="5" spans="1:2">
      <c r="A5" t="s">
        <v>14</v>
      </c>
      <c r="B5">
        <v>0.35</v>
      </c>
    </row>
    <row r="6" spans="1:2">
      <c r="A6" t="s">
        <v>15</v>
      </c>
      <c r="B6">
        <v>0.15</v>
      </c>
    </row>
    <row r="7" spans="1:2">
      <c r="A7" t="s">
        <v>16</v>
      </c>
      <c r="B7">
        <v>0.05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tabSelected="1" workbookViewId="0">
      <selection activeCell="J26" sqref="J26"/>
    </sheetView>
  </sheetViews>
  <sheetFormatPr defaultColWidth="9" defaultRowHeight="13.5" outlineLevelCol="6"/>
  <cols>
    <col min="1" max="1" width="18" style="7" customWidth="1"/>
    <col min="2" max="4" width="18" style="8" customWidth="1"/>
    <col min="5" max="7" width="18" style="9" customWidth="1"/>
    <col min="8" max="16384" width="9" style="8"/>
  </cols>
  <sheetData>
    <row r="1" spans="1:7">
      <c r="A1" s="10" t="s">
        <v>17</v>
      </c>
      <c r="B1" s="11" t="s">
        <v>5</v>
      </c>
      <c r="C1" s="11" t="s">
        <v>18</v>
      </c>
      <c r="D1" s="11" t="s">
        <v>19</v>
      </c>
      <c r="E1" s="12" t="s">
        <v>20</v>
      </c>
      <c r="F1" s="12" t="s">
        <v>21</v>
      </c>
      <c r="G1" s="12" t="s">
        <v>22</v>
      </c>
    </row>
    <row r="2" spans="1:7">
      <c r="A2" s="13">
        <v>46182</v>
      </c>
      <c r="B2" s="14" t="s">
        <v>23</v>
      </c>
      <c r="C2" s="14" t="s">
        <v>4</v>
      </c>
      <c r="D2" s="14" t="s">
        <v>4</v>
      </c>
      <c r="E2" s="15">
        <v>295.98</v>
      </c>
      <c r="F2" s="15">
        <v>295.95</v>
      </c>
      <c r="G2" s="15">
        <v>0.9999</v>
      </c>
    </row>
    <row r="3" spans="1:7">
      <c r="A3" s="13">
        <v>46182</v>
      </c>
      <c r="B3" s="14" t="s">
        <v>23</v>
      </c>
      <c r="C3" s="14" t="s">
        <v>4</v>
      </c>
      <c r="D3" s="14" t="s">
        <v>4</v>
      </c>
      <c r="E3" s="15">
        <v>0.02</v>
      </c>
      <c r="F3" s="15">
        <v>296.01</v>
      </c>
      <c r="G3" s="15">
        <v>0.0001</v>
      </c>
    </row>
    <row r="4" spans="1:7">
      <c r="A4" s="13">
        <v>46182</v>
      </c>
      <c r="B4" s="14" t="s">
        <v>23</v>
      </c>
      <c r="C4" s="14" t="s">
        <v>4</v>
      </c>
      <c r="D4" s="14" t="s">
        <v>4</v>
      </c>
      <c r="E4" s="15">
        <v>591.25</v>
      </c>
      <c r="F4" s="15">
        <v>295.6286</v>
      </c>
      <c r="G4" s="15">
        <v>2</v>
      </c>
    </row>
    <row r="5" spans="1:7">
      <c r="A5" s="13">
        <v>46195</v>
      </c>
      <c r="B5" s="14" t="s">
        <v>23</v>
      </c>
      <c r="C5" s="14"/>
      <c r="D5" s="14"/>
      <c r="E5" s="15">
        <v>305.92</v>
      </c>
      <c r="F5" s="15">
        <v>305.92</v>
      </c>
      <c r="G5" s="15">
        <v>1</v>
      </c>
    </row>
    <row r="6" spans="1:7">
      <c r="A6" s="13">
        <v>46209</v>
      </c>
      <c r="B6" s="14" t="s">
        <v>24</v>
      </c>
      <c r="C6" s="14"/>
      <c r="D6" s="14"/>
      <c r="E6" s="15">
        <v>152.95</v>
      </c>
      <c r="F6" s="15">
        <v>689.96</v>
      </c>
      <c r="G6" s="15">
        <v>0.2217</v>
      </c>
    </row>
    <row r="7" spans="1:7">
      <c r="A7" s="13">
        <v>46209</v>
      </c>
      <c r="B7" s="14" t="s">
        <v>25</v>
      </c>
      <c r="C7" s="14"/>
      <c r="D7" s="14"/>
      <c r="E7" s="15">
        <v>17.93</v>
      </c>
      <c r="F7" s="15">
        <v>38.26</v>
      </c>
      <c r="G7" s="15">
        <v>0.52</v>
      </c>
    </row>
    <row r="8" spans="1:7">
      <c r="A8" s="13">
        <v>46209</v>
      </c>
      <c r="B8" s="14" t="s">
        <v>25</v>
      </c>
      <c r="C8" s="14"/>
      <c r="D8" s="14"/>
      <c r="E8" s="15">
        <v>39.26</v>
      </c>
      <c r="F8" s="15">
        <v>38.26</v>
      </c>
      <c r="G8" s="15">
        <v>1</v>
      </c>
    </row>
    <row r="9" spans="1:7">
      <c r="A9" s="13">
        <v>46212</v>
      </c>
      <c r="B9" s="14" t="s">
        <v>26</v>
      </c>
      <c r="C9" s="14"/>
      <c r="D9" s="14"/>
      <c r="E9" s="15">
        <v>14.99</v>
      </c>
      <c r="F9" s="15">
        <v>72.27</v>
      </c>
      <c r="G9" s="15">
        <f>IF(E9="","",E9/F9)</f>
        <v>0.207416632074166</v>
      </c>
    </row>
    <row r="10" spans="1:7">
      <c r="A10" s="13">
        <v>46213</v>
      </c>
      <c r="B10" s="14" t="s">
        <v>23</v>
      </c>
      <c r="C10" s="14"/>
      <c r="D10" s="14"/>
      <c r="E10" s="15">
        <v>38</v>
      </c>
      <c r="F10" s="15">
        <v>297.33</v>
      </c>
      <c r="G10" s="15">
        <f>IF(E10="","",E10/F10)</f>
        <v>0.127804123364612</v>
      </c>
    </row>
    <row r="11" spans="1:7">
      <c r="A11" s="16">
        <v>46213</v>
      </c>
      <c r="B11" s="8" t="s">
        <v>26</v>
      </c>
      <c r="E11" s="9">
        <v>38</v>
      </c>
      <c r="F11" s="9">
        <v>75.88</v>
      </c>
      <c r="G11" s="9">
        <f t="shared" ref="G2:G65" si="0">IF(E11="","",E11/F11)</f>
        <v>0.500790722192936</v>
      </c>
    </row>
    <row r="12" spans="1:7">
      <c r="A12" s="16">
        <v>46213</v>
      </c>
      <c r="B12" s="8" t="s">
        <v>26</v>
      </c>
      <c r="E12" s="9">
        <v>38</v>
      </c>
      <c r="F12" s="9">
        <v>75.69</v>
      </c>
      <c r="G12" s="9">
        <f t="shared" si="0"/>
        <v>0.502047826661382</v>
      </c>
    </row>
    <row r="13" spans="1:7">
      <c r="A13" s="16">
        <v>46213</v>
      </c>
      <c r="B13" s="8" t="s">
        <v>25</v>
      </c>
      <c r="E13" s="9">
        <v>73.53</v>
      </c>
      <c r="F13" s="9">
        <v>36.76</v>
      </c>
      <c r="G13" s="9">
        <f t="shared" si="0"/>
        <v>2.00027203482046</v>
      </c>
    </row>
    <row r="14" spans="1:7">
      <c r="A14" s="16">
        <v>46213</v>
      </c>
      <c r="B14" s="8" t="s">
        <v>24</v>
      </c>
      <c r="E14" s="9">
        <v>149.94</v>
      </c>
      <c r="F14" s="9">
        <v>691.29</v>
      </c>
      <c r="G14" s="9">
        <f t="shared" si="0"/>
        <v>0.216898841296706</v>
      </c>
    </row>
    <row r="15" spans="1:7">
      <c r="E15" s="9" t="str">
        <f t="shared" ref="E2:E65" si="1">IF(C15="","",C15/D15)</f>
        <v/>
      </c>
      <c r="G15" s="9" t="str">
        <f t="shared" si="0"/>
        <v/>
      </c>
    </row>
    <row r="16" spans="1:7">
      <c r="E16" s="9" t="str">
        <f t="shared" si="1"/>
        <v/>
      </c>
      <c r="G16" s="9" t="str">
        <f t="shared" si="0"/>
        <v/>
      </c>
    </row>
    <row r="17" spans="5:7">
      <c r="E17" s="9" t="str">
        <f t="shared" si="1"/>
        <v/>
      </c>
      <c r="G17" s="9" t="str">
        <f t="shared" si="0"/>
        <v/>
      </c>
    </row>
    <row r="18" spans="5:7">
      <c r="E18" s="9" t="str">
        <f t="shared" si="1"/>
        <v/>
      </c>
      <c r="G18" s="9" t="str">
        <f t="shared" si="0"/>
        <v/>
      </c>
    </row>
    <row r="19" spans="5:7">
      <c r="E19" s="9" t="str">
        <f t="shared" si="1"/>
        <v/>
      </c>
      <c r="G19" s="9" t="str">
        <f t="shared" si="0"/>
        <v/>
      </c>
    </row>
    <row r="20" spans="5:7">
      <c r="E20" s="9" t="str">
        <f t="shared" si="1"/>
        <v/>
      </c>
      <c r="G20" s="9" t="str">
        <f t="shared" si="0"/>
        <v/>
      </c>
    </row>
    <row r="21" spans="5:7">
      <c r="E21" s="9" t="str">
        <f t="shared" si="1"/>
        <v/>
      </c>
      <c r="G21" s="9" t="str">
        <f t="shared" si="0"/>
        <v/>
      </c>
    </row>
    <row r="22" spans="5:7">
      <c r="E22" s="9" t="str">
        <f t="shared" si="1"/>
        <v/>
      </c>
      <c r="G22" s="9" t="str">
        <f t="shared" si="0"/>
        <v/>
      </c>
    </row>
    <row r="23" spans="5:7">
      <c r="E23" s="9" t="str">
        <f t="shared" si="1"/>
        <v/>
      </c>
      <c r="G23" s="9" t="str">
        <f t="shared" si="0"/>
        <v/>
      </c>
    </row>
    <row r="24" spans="5:7">
      <c r="E24" s="9" t="str">
        <f t="shared" si="1"/>
        <v/>
      </c>
      <c r="G24" s="9" t="str">
        <f t="shared" si="0"/>
        <v/>
      </c>
    </row>
    <row r="25" spans="5:7">
      <c r="E25" s="9" t="str">
        <f t="shared" si="1"/>
        <v/>
      </c>
      <c r="G25" s="9" t="str">
        <f t="shared" si="0"/>
        <v/>
      </c>
    </row>
    <row r="26" spans="5:7">
      <c r="E26" s="9" t="str">
        <f t="shared" si="1"/>
        <v/>
      </c>
      <c r="G26" s="9" t="str">
        <f t="shared" si="0"/>
        <v/>
      </c>
    </row>
    <row r="27" spans="5:7">
      <c r="E27" s="9" t="str">
        <f t="shared" si="1"/>
        <v/>
      </c>
      <c r="G27" s="9" t="str">
        <f t="shared" si="0"/>
        <v/>
      </c>
    </row>
    <row r="28" spans="5:7">
      <c r="E28" s="9" t="str">
        <f t="shared" si="1"/>
        <v/>
      </c>
      <c r="G28" s="9" t="str">
        <f t="shared" si="0"/>
        <v/>
      </c>
    </row>
    <row r="29" spans="5:7">
      <c r="E29" s="9" t="str">
        <f t="shared" si="1"/>
        <v/>
      </c>
      <c r="G29" s="9" t="str">
        <f t="shared" si="0"/>
        <v/>
      </c>
    </row>
    <row r="30" spans="5:7">
      <c r="E30" s="9" t="str">
        <f t="shared" si="1"/>
        <v/>
      </c>
      <c r="G30" s="9" t="str">
        <f t="shared" si="0"/>
        <v/>
      </c>
    </row>
    <row r="31" spans="5:7">
      <c r="E31" s="9" t="str">
        <f t="shared" si="1"/>
        <v/>
      </c>
      <c r="G31" s="9" t="str">
        <f t="shared" si="0"/>
        <v/>
      </c>
    </row>
    <row r="32" spans="5:7">
      <c r="E32" s="9" t="str">
        <f t="shared" si="1"/>
        <v/>
      </c>
      <c r="G32" s="9" t="str">
        <f t="shared" si="0"/>
        <v/>
      </c>
    </row>
    <row r="33" spans="5:7">
      <c r="E33" s="9" t="str">
        <f t="shared" si="1"/>
        <v/>
      </c>
      <c r="G33" s="9" t="str">
        <f t="shared" si="0"/>
        <v/>
      </c>
    </row>
    <row r="34" spans="5:7">
      <c r="E34" s="9" t="str">
        <f t="shared" si="1"/>
        <v/>
      </c>
      <c r="G34" s="9" t="str">
        <f t="shared" si="0"/>
        <v/>
      </c>
    </row>
    <row r="35" spans="5:7">
      <c r="E35" s="9" t="str">
        <f t="shared" si="1"/>
        <v/>
      </c>
      <c r="G35" s="9" t="str">
        <f t="shared" si="0"/>
        <v/>
      </c>
    </row>
    <row r="36" spans="5:7">
      <c r="E36" s="9" t="str">
        <f t="shared" si="1"/>
        <v/>
      </c>
      <c r="G36" s="9" t="str">
        <f t="shared" si="0"/>
        <v/>
      </c>
    </row>
    <row r="37" spans="5:7">
      <c r="E37" s="9" t="str">
        <f t="shared" si="1"/>
        <v/>
      </c>
      <c r="G37" s="9" t="str">
        <f t="shared" si="0"/>
        <v/>
      </c>
    </row>
    <row r="38" spans="5:7">
      <c r="E38" s="9" t="str">
        <f t="shared" si="1"/>
        <v/>
      </c>
      <c r="G38" s="9" t="str">
        <f t="shared" si="0"/>
        <v/>
      </c>
    </row>
    <row r="39" spans="5:7">
      <c r="E39" s="9" t="str">
        <f t="shared" si="1"/>
        <v/>
      </c>
      <c r="G39" s="9" t="str">
        <f t="shared" si="0"/>
        <v/>
      </c>
    </row>
    <row r="40" spans="5:7">
      <c r="E40" s="9" t="str">
        <f t="shared" si="1"/>
        <v/>
      </c>
      <c r="G40" s="9" t="str">
        <f t="shared" si="0"/>
        <v/>
      </c>
    </row>
    <row r="41" spans="5:7">
      <c r="E41" s="9" t="str">
        <f t="shared" si="1"/>
        <v/>
      </c>
      <c r="G41" s="9" t="str">
        <f t="shared" si="0"/>
        <v/>
      </c>
    </row>
    <row r="42" spans="5:7">
      <c r="E42" s="9" t="str">
        <f t="shared" si="1"/>
        <v/>
      </c>
      <c r="G42" s="9" t="str">
        <f t="shared" si="0"/>
        <v/>
      </c>
    </row>
    <row r="43" spans="5:7">
      <c r="E43" s="9" t="str">
        <f t="shared" si="1"/>
        <v/>
      </c>
      <c r="G43" s="9" t="str">
        <f t="shared" si="0"/>
        <v/>
      </c>
    </row>
    <row r="44" spans="5:7">
      <c r="E44" s="9" t="str">
        <f t="shared" si="1"/>
        <v/>
      </c>
      <c r="G44" s="9" t="str">
        <f t="shared" si="0"/>
        <v/>
      </c>
    </row>
    <row r="45" spans="5:7">
      <c r="E45" s="9" t="str">
        <f t="shared" si="1"/>
        <v/>
      </c>
      <c r="G45" s="9" t="str">
        <f t="shared" si="0"/>
        <v/>
      </c>
    </row>
    <row r="46" spans="5:7">
      <c r="E46" s="9" t="str">
        <f t="shared" si="1"/>
        <v/>
      </c>
      <c r="G46" s="9" t="str">
        <f t="shared" si="0"/>
        <v/>
      </c>
    </row>
    <row r="47" spans="5:7">
      <c r="E47" s="9" t="str">
        <f t="shared" si="1"/>
        <v/>
      </c>
      <c r="G47" s="9" t="str">
        <f t="shared" si="0"/>
        <v/>
      </c>
    </row>
    <row r="48" spans="5:7">
      <c r="E48" s="9" t="str">
        <f t="shared" si="1"/>
        <v/>
      </c>
      <c r="G48" s="9" t="str">
        <f t="shared" si="0"/>
        <v/>
      </c>
    </row>
    <row r="49" spans="5:7">
      <c r="E49" s="9" t="str">
        <f t="shared" si="1"/>
        <v/>
      </c>
      <c r="G49" s="9" t="str">
        <f t="shared" si="0"/>
        <v/>
      </c>
    </row>
    <row r="50" spans="5:7">
      <c r="E50" s="9" t="str">
        <f t="shared" si="1"/>
        <v/>
      </c>
      <c r="G50" s="9" t="str">
        <f t="shared" si="0"/>
        <v/>
      </c>
    </row>
    <row r="51" spans="5:7">
      <c r="E51" s="9" t="str">
        <f t="shared" si="1"/>
        <v/>
      </c>
      <c r="G51" s="9" t="str">
        <f t="shared" si="0"/>
        <v/>
      </c>
    </row>
    <row r="52" spans="5:7">
      <c r="E52" s="9" t="str">
        <f t="shared" si="1"/>
        <v/>
      </c>
      <c r="G52" s="9" t="str">
        <f t="shared" si="0"/>
        <v/>
      </c>
    </row>
    <row r="53" spans="5:7">
      <c r="E53" s="9" t="str">
        <f t="shared" si="1"/>
        <v/>
      </c>
      <c r="G53" s="9" t="str">
        <f t="shared" si="0"/>
        <v/>
      </c>
    </row>
    <row r="54" spans="5:7">
      <c r="E54" s="9" t="str">
        <f t="shared" si="1"/>
        <v/>
      </c>
      <c r="G54" s="9" t="str">
        <f t="shared" si="0"/>
        <v/>
      </c>
    </row>
    <row r="55" spans="5:7">
      <c r="E55" s="9" t="str">
        <f t="shared" si="1"/>
        <v/>
      </c>
      <c r="G55" s="9" t="str">
        <f t="shared" si="0"/>
        <v/>
      </c>
    </row>
    <row r="56" spans="5:7">
      <c r="E56" s="9" t="str">
        <f t="shared" si="1"/>
        <v/>
      </c>
      <c r="G56" s="9" t="str">
        <f t="shared" si="0"/>
        <v/>
      </c>
    </row>
    <row r="57" spans="5:7">
      <c r="E57" s="9" t="str">
        <f t="shared" si="1"/>
        <v/>
      </c>
      <c r="G57" s="9" t="str">
        <f t="shared" si="0"/>
        <v/>
      </c>
    </row>
    <row r="58" spans="5:7">
      <c r="E58" s="9" t="str">
        <f t="shared" si="1"/>
        <v/>
      </c>
      <c r="G58" s="9" t="str">
        <f t="shared" si="0"/>
        <v/>
      </c>
    </row>
    <row r="59" spans="5:7">
      <c r="E59" s="9" t="str">
        <f t="shared" si="1"/>
        <v/>
      </c>
      <c r="G59" s="9" t="str">
        <f t="shared" si="0"/>
        <v/>
      </c>
    </row>
    <row r="60" spans="5:7">
      <c r="E60" s="9" t="str">
        <f t="shared" si="1"/>
        <v/>
      </c>
      <c r="G60" s="9" t="str">
        <f t="shared" si="0"/>
        <v/>
      </c>
    </row>
    <row r="61" spans="5:7">
      <c r="E61" s="9" t="str">
        <f t="shared" si="1"/>
        <v/>
      </c>
      <c r="G61" s="9" t="str">
        <f t="shared" si="0"/>
        <v/>
      </c>
    </row>
    <row r="62" spans="5:7">
      <c r="E62" s="9" t="str">
        <f t="shared" si="1"/>
        <v/>
      </c>
      <c r="G62" s="9" t="str">
        <f t="shared" si="0"/>
        <v/>
      </c>
    </row>
    <row r="63" spans="5:7">
      <c r="E63" s="9" t="str">
        <f t="shared" si="1"/>
        <v/>
      </c>
      <c r="G63" s="9" t="str">
        <f t="shared" si="0"/>
        <v/>
      </c>
    </row>
    <row r="64" spans="5:7">
      <c r="E64" s="9" t="str">
        <f t="shared" si="1"/>
        <v/>
      </c>
      <c r="G64" s="9" t="str">
        <f t="shared" si="0"/>
        <v/>
      </c>
    </row>
    <row r="65" spans="5:7">
      <c r="E65" s="9" t="str">
        <f t="shared" si="1"/>
        <v/>
      </c>
      <c r="G65" s="9" t="str">
        <f t="shared" si="0"/>
        <v/>
      </c>
    </row>
    <row r="66" spans="5:7">
      <c r="E66" s="9" t="str">
        <f t="shared" ref="E66:E129" si="2">IF(C66="","",C66/D66)</f>
        <v/>
      </c>
      <c r="G66" s="9" t="str">
        <f t="shared" ref="G66:G129" si="3">IF(E66="","",E66/F66)</f>
        <v/>
      </c>
    </row>
    <row r="67" spans="5:7">
      <c r="E67" s="9" t="str">
        <f t="shared" si="2"/>
        <v/>
      </c>
      <c r="G67" s="9" t="str">
        <f t="shared" si="3"/>
        <v/>
      </c>
    </row>
    <row r="68" spans="5:7">
      <c r="E68" s="9" t="str">
        <f t="shared" si="2"/>
        <v/>
      </c>
      <c r="G68" s="9" t="str">
        <f t="shared" si="3"/>
        <v/>
      </c>
    </row>
    <row r="69" spans="5:7">
      <c r="E69" s="9" t="str">
        <f t="shared" si="2"/>
        <v/>
      </c>
      <c r="G69" s="9" t="str">
        <f t="shared" si="3"/>
        <v/>
      </c>
    </row>
    <row r="70" spans="5:7">
      <c r="E70" s="9" t="str">
        <f t="shared" si="2"/>
        <v/>
      </c>
      <c r="G70" s="9" t="str">
        <f t="shared" si="3"/>
        <v/>
      </c>
    </row>
    <row r="71" spans="5:7">
      <c r="E71" s="9" t="str">
        <f t="shared" si="2"/>
        <v/>
      </c>
      <c r="G71" s="9" t="str">
        <f t="shared" si="3"/>
        <v/>
      </c>
    </row>
    <row r="72" spans="5:7">
      <c r="E72" s="9" t="str">
        <f t="shared" si="2"/>
        <v/>
      </c>
      <c r="G72" s="9" t="str">
        <f t="shared" si="3"/>
        <v/>
      </c>
    </row>
    <row r="73" spans="5:7">
      <c r="E73" s="9" t="str">
        <f t="shared" si="2"/>
        <v/>
      </c>
      <c r="G73" s="9" t="str">
        <f t="shared" si="3"/>
        <v/>
      </c>
    </row>
    <row r="74" spans="5:7">
      <c r="E74" s="9" t="str">
        <f t="shared" si="2"/>
        <v/>
      </c>
      <c r="G74" s="9" t="str">
        <f t="shared" si="3"/>
        <v/>
      </c>
    </row>
    <row r="75" spans="5:7">
      <c r="E75" s="9" t="str">
        <f t="shared" si="2"/>
        <v/>
      </c>
      <c r="G75" s="9" t="str">
        <f t="shared" si="3"/>
        <v/>
      </c>
    </row>
    <row r="76" spans="5:7">
      <c r="E76" s="9" t="str">
        <f t="shared" si="2"/>
        <v/>
      </c>
      <c r="G76" s="9" t="str">
        <f t="shared" si="3"/>
        <v/>
      </c>
    </row>
    <row r="77" spans="5:7">
      <c r="E77" s="9" t="str">
        <f t="shared" si="2"/>
        <v/>
      </c>
      <c r="G77" s="9" t="str">
        <f t="shared" si="3"/>
        <v/>
      </c>
    </row>
    <row r="78" spans="5:7">
      <c r="E78" s="9" t="str">
        <f t="shared" si="2"/>
        <v/>
      </c>
      <c r="G78" s="9" t="str">
        <f t="shared" si="3"/>
        <v/>
      </c>
    </row>
    <row r="79" spans="5:7">
      <c r="E79" s="9" t="str">
        <f t="shared" si="2"/>
        <v/>
      </c>
      <c r="G79" s="9" t="str">
        <f t="shared" si="3"/>
        <v/>
      </c>
    </row>
    <row r="80" spans="5:7">
      <c r="E80" s="9" t="str">
        <f t="shared" si="2"/>
        <v/>
      </c>
      <c r="G80" s="9" t="str">
        <f t="shared" si="3"/>
        <v/>
      </c>
    </row>
    <row r="81" spans="5:7">
      <c r="E81" s="9" t="str">
        <f t="shared" si="2"/>
        <v/>
      </c>
      <c r="G81" s="9" t="str">
        <f t="shared" si="3"/>
        <v/>
      </c>
    </row>
    <row r="82" spans="5:7">
      <c r="E82" s="9" t="str">
        <f t="shared" si="2"/>
        <v/>
      </c>
      <c r="G82" s="9" t="str">
        <f t="shared" si="3"/>
        <v/>
      </c>
    </row>
    <row r="83" spans="5:7">
      <c r="E83" s="9" t="str">
        <f t="shared" si="2"/>
        <v/>
      </c>
      <c r="G83" s="9" t="str">
        <f t="shared" si="3"/>
        <v/>
      </c>
    </row>
    <row r="84" spans="5:7">
      <c r="E84" s="9" t="str">
        <f t="shared" si="2"/>
        <v/>
      </c>
      <c r="G84" s="9" t="str">
        <f t="shared" si="3"/>
        <v/>
      </c>
    </row>
    <row r="85" spans="5:7">
      <c r="E85" s="9" t="str">
        <f t="shared" si="2"/>
        <v/>
      </c>
      <c r="G85" s="9" t="str">
        <f t="shared" si="3"/>
        <v/>
      </c>
    </row>
    <row r="86" spans="5:7">
      <c r="E86" s="9" t="str">
        <f t="shared" si="2"/>
        <v/>
      </c>
      <c r="G86" s="9" t="str">
        <f t="shared" si="3"/>
        <v/>
      </c>
    </row>
    <row r="87" spans="5:7">
      <c r="E87" s="9" t="str">
        <f t="shared" si="2"/>
        <v/>
      </c>
      <c r="G87" s="9" t="str">
        <f t="shared" si="3"/>
        <v/>
      </c>
    </row>
    <row r="88" spans="5:7">
      <c r="E88" s="9" t="str">
        <f t="shared" si="2"/>
        <v/>
      </c>
      <c r="G88" s="9" t="str">
        <f t="shared" si="3"/>
        <v/>
      </c>
    </row>
    <row r="89" spans="5:7">
      <c r="E89" s="9" t="str">
        <f t="shared" si="2"/>
        <v/>
      </c>
      <c r="G89" s="9" t="str">
        <f t="shared" si="3"/>
        <v/>
      </c>
    </row>
    <row r="90" spans="5:7">
      <c r="E90" s="9" t="str">
        <f t="shared" si="2"/>
        <v/>
      </c>
      <c r="G90" s="9" t="str">
        <f t="shared" si="3"/>
        <v/>
      </c>
    </row>
    <row r="91" spans="5:7">
      <c r="E91" s="9" t="str">
        <f t="shared" si="2"/>
        <v/>
      </c>
      <c r="G91" s="9" t="str">
        <f t="shared" si="3"/>
        <v/>
      </c>
    </row>
    <row r="92" spans="5:7">
      <c r="E92" s="9" t="str">
        <f t="shared" si="2"/>
        <v/>
      </c>
      <c r="G92" s="9" t="str">
        <f t="shared" si="3"/>
        <v/>
      </c>
    </row>
    <row r="93" spans="5:7">
      <c r="E93" s="9" t="str">
        <f t="shared" si="2"/>
        <v/>
      </c>
      <c r="G93" s="9" t="str">
        <f t="shared" si="3"/>
        <v/>
      </c>
    </row>
    <row r="94" spans="5:7">
      <c r="E94" s="9" t="str">
        <f t="shared" si="2"/>
        <v/>
      </c>
      <c r="G94" s="9" t="str">
        <f t="shared" si="3"/>
        <v/>
      </c>
    </row>
    <row r="95" spans="5:7">
      <c r="E95" s="9" t="str">
        <f t="shared" si="2"/>
        <v/>
      </c>
      <c r="G95" s="9" t="str">
        <f t="shared" si="3"/>
        <v/>
      </c>
    </row>
    <row r="96" spans="5:7">
      <c r="E96" s="9" t="str">
        <f t="shared" si="2"/>
        <v/>
      </c>
      <c r="G96" s="9" t="str">
        <f t="shared" si="3"/>
        <v/>
      </c>
    </row>
    <row r="97" spans="5:7">
      <c r="E97" s="9" t="str">
        <f t="shared" si="2"/>
        <v/>
      </c>
      <c r="G97" s="9" t="str">
        <f t="shared" si="3"/>
        <v/>
      </c>
    </row>
    <row r="98" spans="5:7">
      <c r="E98" s="9" t="str">
        <f t="shared" si="2"/>
        <v/>
      </c>
      <c r="G98" s="9" t="str">
        <f t="shared" si="3"/>
        <v/>
      </c>
    </row>
    <row r="99" spans="5:7">
      <c r="E99" s="9" t="str">
        <f t="shared" si="2"/>
        <v/>
      </c>
      <c r="G99" s="9" t="str">
        <f t="shared" si="3"/>
        <v/>
      </c>
    </row>
    <row r="100" spans="5:7">
      <c r="E100" s="9" t="str">
        <f t="shared" si="2"/>
        <v/>
      </c>
      <c r="G100" s="9" t="str">
        <f t="shared" si="3"/>
        <v/>
      </c>
    </row>
    <row r="101" spans="5:7">
      <c r="E101" s="9" t="str">
        <f t="shared" si="2"/>
        <v/>
      </c>
      <c r="G101" s="9" t="str">
        <f t="shared" si="3"/>
        <v/>
      </c>
    </row>
    <row r="102" spans="5:7">
      <c r="E102" s="9" t="str">
        <f t="shared" si="2"/>
        <v/>
      </c>
      <c r="G102" s="9" t="str">
        <f t="shared" si="3"/>
        <v/>
      </c>
    </row>
    <row r="103" spans="5:7">
      <c r="E103" s="9" t="str">
        <f t="shared" si="2"/>
        <v/>
      </c>
      <c r="G103" s="9" t="str">
        <f t="shared" si="3"/>
        <v/>
      </c>
    </row>
    <row r="104" spans="5:7">
      <c r="E104" s="9" t="str">
        <f t="shared" si="2"/>
        <v/>
      </c>
      <c r="G104" s="9" t="str">
        <f t="shared" si="3"/>
        <v/>
      </c>
    </row>
    <row r="105" spans="5:7">
      <c r="E105" s="9" t="str">
        <f t="shared" si="2"/>
        <v/>
      </c>
      <c r="G105" s="9" t="str">
        <f t="shared" si="3"/>
        <v/>
      </c>
    </row>
    <row r="106" spans="5:7">
      <c r="E106" s="9" t="str">
        <f t="shared" si="2"/>
        <v/>
      </c>
      <c r="G106" s="9" t="str">
        <f t="shared" si="3"/>
        <v/>
      </c>
    </row>
    <row r="107" spans="5:7">
      <c r="E107" s="9" t="str">
        <f t="shared" si="2"/>
        <v/>
      </c>
      <c r="G107" s="9" t="str">
        <f t="shared" si="3"/>
        <v/>
      </c>
    </row>
    <row r="108" spans="5:7">
      <c r="E108" s="9" t="str">
        <f t="shared" si="2"/>
        <v/>
      </c>
      <c r="G108" s="9" t="str">
        <f t="shared" si="3"/>
        <v/>
      </c>
    </row>
    <row r="109" spans="5:7">
      <c r="E109" s="9" t="str">
        <f t="shared" si="2"/>
        <v/>
      </c>
      <c r="G109" s="9" t="str">
        <f t="shared" si="3"/>
        <v/>
      </c>
    </row>
    <row r="110" spans="5:7">
      <c r="E110" s="9" t="str">
        <f t="shared" si="2"/>
        <v/>
      </c>
      <c r="G110" s="9" t="str">
        <f t="shared" si="3"/>
        <v/>
      </c>
    </row>
    <row r="111" spans="5:7">
      <c r="E111" s="9" t="str">
        <f t="shared" si="2"/>
        <v/>
      </c>
      <c r="G111" s="9" t="str">
        <f t="shared" si="3"/>
        <v/>
      </c>
    </row>
    <row r="112" spans="5:7">
      <c r="E112" s="9" t="str">
        <f t="shared" si="2"/>
        <v/>
      </c>
      <c r="G112" s="9" t="str">
        <f t="shared" si="3"/>
        <v/>
      </c>
    </row>
    <row r="113" spans="5:7">
      <c r="E113" s="9" t="str">
        <f t="shared" si="2"/>
        <v/>
      </c>
      <c r="G113" s="9" t="str">
        <f t="shared" si="3"/>
        <v/>
      </c>
    </row>
    <row r="114" spans="5:7">
      <c r="E114" s="9" t="str">
        <f t="shared" si="2"/>
        <v/>
      </c>
      <c r="G114" s="9" t="str">
        <f t="shared" si="3"/>
        <v/>
      </c>
    </row>
    <row r="115" spans="5:7">
      <c r="E115" s="9" t="str">
        <f t="shared" si="2"/>
        <v/>
      </c>
      <c r="G115" s="9" t="str">
        <f t="shared" si="3"/>
        <v/>
      </c>
    </row>
    <row r="116" spans="5:7">
      <c r="E116" s="9" t="str">
        <f t="shared" si="2"/>
        <v/>
      </c>
      <c r="G116" s="9" t="str">
        <f t="shared" si="3"/>
        <v/>
      </c>
    </row>
    <row r="117" spans="5:7">
      <c r="E117" s="9" t="str">
        <f t="shared" si="2"/>
        <v/>
      </c>
      <c r="G117" s="9" t="str">
        <f t="shared" si="3"/>
        <v/>
      </c>
    </row>
    <row r="118" spans="5:7">
      <c r="E118" s="9" t="str">
        <f t="shared" si="2"/>
        <v/>
      </c>
      <c r="G118" s="9" t="str">
        <f t="shared" si="3"/>
        <v/>
      </c>
    </row>
    <row r="119" spans="5:7">
      <c r="E119" s="9" t="str">
        <f t="shared" si="2"/>
        <v/>
      </c>
      <c r="G119" s="9" t="str">
        <f t="shared" si="3"/>
        <v/>
      </c>
    </row>
    <row r="120" spans="5:7">
      <c r="E120" s="9" t="str">
        <f t="shared" si="2"/>
        <v/>
      </c>
      <c r="G120" s="9" t="str">
        <f t="shared" si="3"/>
        <v/>
      </c>
    </row>
    <row r="121" spans="5:7">
      <c r="E121" s="9" t="str">
        <f t="shared" si="2"/>
        <v/>
      </c>
      <c r="G121" s="9" t="str">
        <f t="shared" si="3"/>
        <v/>
      </c>
    </row>
    <row r="122" spans="5:7">
      <c r="E122" s="9" t="str">
        <f t="shared" si="2"/>
        <v/>
      </c>
      <c r="G122" s="9" t="str">
        <f t="shared" si="3"/>
        <v/>
      </c>
    </row>
    <row r="123" spans="5:7">
      <c r="E123" s="9" t="str">
        <f t="shared" si="2"/>
        <v/>
      </c>
      <c r="G123" s="9" t="str">
        <f t="shared" si="3"/>
        <v/>
      </c>
    </row>
    <row r="124" spans="5:7">
      <c r="E124" s="9" t="str">
        <f t="shared" si="2"/>
        <v/>
      </c>
      <c r="G124" s="9" t="str">
        <f t="shared" si="3"/>
        <v/>
      </c>
    </row>
    <row r="125" spans="5:7">
      <c r="E125" s="9" t="str">
        <f t="shared" si="2"/>
        <v/>
      </c>
      <c r="G125" s="9" t="str">
        <f t="shared" si="3"/>
        <v/>
      </c>
    </row>
    <row r="126" spans="5:7">
      <c r="E126" s="9" t="str">
        <f t="shared" si="2"/>
        <v/>
      </c>
      <c r="G126" s="9" t="str">
        <f t="shared" si="3"/>
        <v/>
      </c>
    </row>
    <row r="127" spans="5:7">
      <c r="E127" s="9" t="str">
        <f t="shared" si="2"/>
        <v/>
      </c>
      <c r="G127" s="9" t="str">
        <f t="shared" si="3"/>
        <v/>
      </c>
    </row>
    <row r="128" spans="5:7">
      <c r="E128" s="9" t="str">
        <f t="shared" si="2"/>
        <v/>
      </c>
      <c r="G128" s="9" t="str">
        <f t="shared" si="3"/>
        <v/>
      </c>
    </row>
    <row r="129" spans="5:7">
      <c r="E129" s="9" t="str">
        <f t="shared" si="2"/>
        <v/>
      </c>
      <c r="G129" s="9" t="str">
        <f t="shared" si="3"/>
        <v/>
      </c>
    </row>
    <row r="130" spans="5:7">
      <c r="E130" s="9" t="str">
        <f t="shared" ref="E130:E193" si="4">IF(C130="","",C130/D130)</f>
        <v/>
      </c>
      <c r="G130" s="9" t="str">
        <f t="shared" ref="G130:G193" si="5">IF(E130="","",E130/F130)</f>
        <v/>
      </c>
    </row>
    <row r="131" spans="5:7">
      <c r="E131" s="9" t="str">
        <f t="shared" si="4"/>
        <v/>
      </c>
      <c r="G131" s="9" t="str">
        <f t="shared" si="5"/>
        <v/>
      </c>
    </row>
    <row r="132" spans="5:7">
      <c r="E132" s="9" t="str">
        <f t="shared" si="4"/>
        <v/>
      </c>
      <c r="G132" s="9" t="str">
        <f t="shared" si="5"/>
        <v/>
      </c>
    </row>
    <row r="133" spans="5:7">
      <c r="E133" s="9" t="str">
        <f t="shared" si="4"/>
        <v/>
      </c>
      <c r="G133" s="9" t="str">
        <f t="shared" si="5"/>
        <v/>
      </c>
    </row>
    <row r="134" spans="5:7">
      <c r="E134" s="9" t="str">
        <f t="shared" si="4"/>
        <v/>
      </c>
      <c r="G134" s="9" t="str">
        <f t="shared" si="5"/>
        <v/>
      </c>
    </row>
    <row r="135" spans="5:7">
      <c r="E135" s="9" t="str">
        <f t="shared" si="4"/>
        <v/>
      </c>
      <c r="G135" s="9" t="str">
        <f t="shared" si="5"/>
        <v/>
      </c>
    </row>
    <row r="136" spans="5:7">
      <c r="E136" s="9" t="str">
        <f t="shared" si="4"/>
        <v/>
      </c>
      <c r="G136" s="9" t="str">
        <f t="shared" si="5"/>
        <v/>
      </c>
    </row>
    <row r="137" spans="5:7">
      <c r="E137" s="9" t="str">
        <f t="shared" si="4"/>
        <v/>
      </c>
      <c r="G137" s="9" t="str">
        <f t="shared" si="5"/>
        <v/>
      </c>
    </row>
    <row r="138" spans="5:7">
      <c r="E138" s="9" t="str">
        <f t="shared" si="4"/>
        <v/>
      </c>
      <c r="G138" s="9" t="str">
        <f t="shared" si="5"/>
        <v/>
      </c>
    </row>
    <row r="139" spans="5:7">
      <c r="E139" s="9" t="str">
        <f t="shared" si="4"/>
        <v/>
      </c>
      <c r="G139" s="9" t="str">
        <f t="shared" si="5"/>
        <v/>
      </c>
    </row>
    <row r="140" spans="5:7">
      <c r="E140" s="9" t="str">
        <f t="shared" si="4"/>
        <v/>
      </c>
      <c r="G140" s="9" t="str">
        <f t="shared" si="5"/>
        <v/>
      </c>
    </row>
    <row r="141" spans="5:7">
      <c r="E141" s="9" t="str">
        <f t="shared" si="4"/>
        <v/>
      </c>
      <c r="G141" s="9" t="str">
        <f t="shared" si="5"/>
        <v/>
      </c>
    </row>
    <row r="142" spans="5:7">
      <c r="E142" s="9" t="str">
        <f t="shared" si="4"/>
        <v/>
      </c>
      <c r="G142" s="9" t="str">
        <f t="shared" si="5"/>
        <v/>
      </c>
    </row>
    <row r="143" spans="5:7">
      <c r="E143" s="9" t="str">
        <f t="shared" si="4"/>
        <v/>
      </c>
      <c r="G143" s="9" t="str">
        <f t="shared" si="5"/>
        <v/>
      </c>
    </row>
    <row r="144" spans="5:7">
      <c r="E144" s="9" t="str">
        <f t="shared" si="4"/>
        <v/>
      </c>
      <c r="G144" s="9" t="str">
        <f t="shared" si="5"/>
        <v/>
      </c>
    </row>
    <row r="145" spans="5:7">
      <c r="E145" s="9" t="str">
        <f t="shared" si="4"/>
        <v/>
      </c>
      <c r="G145" s="9" t="str">
        <f t="shared" si="5"/>
        <v/>
      </c>
    </row>
    <row r="146" spans="5:7">
      <c r="E146" s="9" t="str">
        <f t="shared" si="4"/>
        <v/>
      </c>
      <c r="G146" s="9" t="str">
        <f t="shared" si="5"/>
        <v/>
      </c>
    </row>
    <row r="147" spans="5:7">
      <c r="E147" s="9" t="str">
        <f t="shared" si="4"/>
        <v/>
      </c>
      <c r="G147" s="9" t="str">
        <f t="shared" si="5"/>
        <v/>
      </c>
    </row>
    <row r="148" spans="5:7">
      <c r="E148" s="9" t="str">
        <f t="shared" si="4"/>
        <v/>
      </c>
      <c r="G148" s="9" t="str">
        <f t="shared" si="5"/>
        <v/>
      </c>
    </row>
    <row r="149" spans="5:7">
      <c r="E149" s="9" t="str">
        <f t="shared" si="4"/>
        <v/>
      </c>
      <c r="G149" s="9" t="str">
        <f t="shared" si="5"/>
        <v/>
      </c>
    </row>
    <row r="150" spans="5:7">
      <c r="E150" s="9" t="str">
        <f t="shared" si="4"/>
        <v/>
      </c>
      <c r="G150" s="9" t="str">
        <f t="shared" si="5"/>
        <v/>
      </c>
    </row>
    <row r="151" spans="5:7">
      <c r="E151" s="9" t="str">
        <f t="shared" si="4"/>
        <v/>
      </c>
      <c r="G151" s="9" t="str">
        <f t="shared" si="5"/>
        <v/>
      </c>
    </row>
    <row r="152" spans="5:7">
      <c r="E152" s="9" t="str">
        <f t="shared" si="4"/>
        <v/>
      </c>
      <c r="G152" s="9" t="str">
        <f t="shared" si="5"/>
        <v/>
      </c>
    </row>
    <row r="153" spans="5:7">
      <c r="E153" s="9" t="str">
        <f t="shared" si="4"/>
        <v/>
      </c>
      <c r="G153" s="9" t="str">
        <f t="shared" si="5"/>
        <v/>
      </c>
    </row>
    <row r="154" spans="5:7">
      <c r="E154" s="9" t="str">
        <f t="shared" si="4"/>
        <v/>
      </c>
      <c r="G154" s="9" t="str">
        <f t="shared" si="5"/>
        <v/>
      </c>
    </row>
    <row r="155" spans="5:7">
      <c r="E155" s="9" t="str">
        <f t="shared" si="4"/>
        <v/>
      </c>
      <c r="G155" s="9" t="str">
        <f t="shared" si="5"/>
        <v/>
      </c>
    </row>
    <row r="156" spans="5:7">
      <c r="E156" s="9" t="str">
        <f t="shared" si="4"/>
        <v/>
      </c>
      <c r="G156" s="9" t="str">
        <f t="shared" si="5"/>
        <v/>
      </c>
    </row>
    <row r="157" spans="5:7">
      <c r="E157" s="9" t="str">
        <f t="shared" si="4"/>
        <v/>
      </c>
      <c r="G157" s="9" t="str">
        <f t="shared" si="5"/>
        <v/>
      </c>
    </row>
    <row r="158" spans="5:7">
      <c r="E158" s="9" t="str">
        <f t="shared" si="4"/>
        <v/>
      </c>
      <c r="G158" s="9" t="str">
        <f t="shared" si="5"/>
        <v/>
      </c>
    </row>
    <row r="159" spans="5:7">
      <c r="E159" s="9" t="str">
        <f t="shared" si="4"/>
        <v/>
      </c>
      <c r="G159" s="9" t="str">
        <f t="shared" si="5"/>
        <v/>
      </c>
    </row>
    <row r="160" spans="5:7">
      <c r="E160" s="9" t="str">
        <f t="shared" si="4"/>
        <v/>
      </c>
      <c r="G160" s="9" t="str">
        <f t="shared" si="5"/>
        <v/>
      </c>
    </row>
    <row r="161" spans="5:7">
      <c r="E161" s="9" t="str">
        <f t="shared" si="4"/>
        <v/>
      </c>
      <c r="G161" s="9" t="str">
        <f t="shared" si="5"/>
        <v/>
      </c>
    </row>
    <row r="162" spans="5:7">
      <c r="E162" s="9" t="str">
        <f t="shared" si="4"/>
        <v/>
      </c>
      <c r="G162" s="9" t="str">
        <f t="shared" si="5"/>
        <v/>
      </c>
    </row>
    <row r="163" spans="5:7">
      <c r="E163" s="9" t="str">
        <f t="shared" si="4"/>
        <v/>
      </c>
      <c r="G163" s="9" t="str">
        <f t="shared" si="5"/>
        <v/>
      </c>
    </row>
    <row r="164" spans="5:7">
      <c r="E164" s="9" t="str">
        <f t="shared" si="4"/>
        <v/>
      </c>
      <c r="G164" s="9" t="str">
        <f t="shared" si="5"/>
        <v/>
      </c>
    </row>
    <row r="165" spans="5:7">
      <c r="E165" s="9" t="str">
        <f t="shared" si="4"/>
        <v/>
      </c>
      <c r="G165" s="9" t="str">
        <f t="shared" si="5"/>
        <v/>
      </c>
    </row>
    <row r="166" spans="5:7">
      <c r="E166" s="9" t="str">
        <f t="shared" si="4"/>
        <v/>
      </c>
      <c r="G166" s="9" t="str">
        <f t="shared" si="5"/>
        <v/>
      </c>
    </row>
    <row r="167" spans="5:7">
      <c r="E167" s="9" t="str">
        <f t="shared" si="4"/>
        <v/>
      </c>
      <c r="G167" s="9" t="str">
        <f t="shared" si="5"/>
        <v/>
      </c>
    </row>
    <row r="168" spans="5:7">
      <c r="E168" s="9" t="str">
        <f t="shared" si="4"/>
        <v/>
      </c>
      <c r="G168" s="9" t="str">
        <f t="shared" si="5"/>
        <v/>
      </c>
    </row>
    <row r="169" spans="5:7">
      <c r="E169" s="9" t="str">
        <f t="shared" si="4"/>
        <v/>
      </c>
      <c r="G169" s="9" t="str">
        <f t="shared" si="5"/>
        <v/>
      </c>
    </row>
    <row r="170" spans="5:7">
      <c r="E170" s="9" t="str">
        <f t="shared" si="4"/>
        <v/>
      </c>
      <c r="G170" s="9" t="str">
        <f t="shared" si="5"/>
        <v/>
      </c>
    </row>
    <row r="171" spans="5:7">
      <c r="E171" s="9" t="str">
        <f t="shared" si="4"/>
        <v/>
      </c>
      <c r="G171" s="9" t="str">
        <f t="shared" si="5"/>
        <v/>
      </c>
    </row>
    <row r="172" spans="5:7">
      <c r="E172" s="9" t="str">
        <f t="shared" si="4"/>
        <v/>
      </c>
      <c r="G172" s="9" t="str">
        <f t="shared" si="5"/>
        <v/>
      </c>
    </row>
    <row r="173" spans="5:7">
      <c r="E173" s="9" t="str">
        <f t="shared" si="4"/>
        <v/>
      </c>
      <c r="G173" s="9" t="str">
        <f t="shared" si="5"/>
        <v/>
      </c>
    </row>
    <row r="174" spans="5:7">
      <c r="E174" s="9" t="str">
        <f t="shared" si="4"/>
        <v/>
      </c>
      <c r="G174" s="9" t="str">
        <f t="shared" si="5"/>
        <v/>
      </c>
    </row>
    <row r="175" spans="5:7">
      <c r="E175" s="9" t="str">
        <f t="shared" si="4"/>
        <v/>
      </c>
      <c r="G175" s="9" t="str">
        <f t="shared" si="5"/>
        <v/>
      </c>
    </row>
    <row r="176" spans="5:7">
      <c r="E176" s="9" t="str">
        <f t="shared" si="4"/>
        <v/>
      </c>
      <c r="G176" s="9" t="str">
        <f t="shared" si="5"/>
        <v/>
      </c>
    </row>
    <row r="177" spans="5:7">
      <c r="E177" s="9" t="str">
        <f t="shared" si="4"/>
        <v/>
      </c>
      <c r="G177" s="9" t="str">
        <f t="shared" si="5"/>
        <v/>
      </c>
    </row>
    <row r="178" spans="5:7">
      <c r="E178" s="9" t="str">
        <f t="shared" si="4"/>
        <v/>
      </c>
      <c r="G178" s="9" t="str">
        <f t="shared" si="5"/>
        <v/>
      </c>
    </row>
    <row r="179" spans="5:7">
      <c r="E179" s="9" t="str">
        <f t="shared" si="4"/>
        <v/>
      </c>
      <c r="G179" s="9" t="str">
        <f t="shared" si="5"/>
        <v/>
      </c>
    </row>
    <row r="180" spans="5:7">
      <c r="E180" s="9" t="str">
        <f t="shared" si="4"/>
        <v/>
      </c>
      <c r="G180" s="9" t="str">
        <f t="shared" si="5"/>
        <v/>
      </c>
    </row>
    <row r="181" spans="5:7">
      <c r="E181" s="9" t="str">
        <f t="shared" si="4"/>
        <v/>
      </c>
      <c r="G181" s="9" t="str">
        <f t="shared" si="5"/>
        <v/>
      </c>
    </row>
    <row r="182" spans="5:7">
      <c r="E182" s="9" t="str">
        <f t="shared" si="4"/>
        <v/>
      </c>
      <c r="G182" s="9" t="str">
        <f t="shared" si="5"/>
        <v/>
      </c>
    </row>
    <row r="183" spans="5:7">
      <c r="E183" s="9" t="str">
        <f t="shared" si="4"/>
        <v/>
      </c>
      <c r="G183" s="9" t="str">
        <f t="shared" si="5"/>
        <v/>
      </c>
    </row>
    <row r="184" spans="5:7">
      <c r="E184" s="9" t="str">
        <f t="shared" si="4"/>
        <v/>
      </c>
      <c r="G184" s="9" t="str">
        <f t="shared" si="5"/>
        <v/>
      </c>
    </row>
    <row r="185" spans="5:7">
      <c r="E185" s="9" t="str">
        <f t="shared" si="4"/>
        <v/>
      </c>
      <c r="G185" s="9" t="str">
        <f t="shared" si="5"/>
        <v/>
      </c>
    </row>
    <row r="186" spans="5:7">
      <c r="E186" s="9" t="str">
        <f t="shared" si="4"/>
        <v/>
      </c>
      <c r="G186" s="9" t="str">
        <f t="shared" si="5"/>
        <v/>
      </c>
    </row>
    <row r="187" spans="5:7">
      <c r="E187" s="9" t="str">
        <f t="shared" si="4"/>
        <v/>
      </c>
      <c r="G187" s="9" t="str">
        <f t="shared" si="5"/>
        <v/>
      </c>
    </row>
    <row r="188" spans="5:7">
      <c r="E188" s="9" t="str">
        <f t="shared" si="4"/>
        <v/>
      </c>
      <c r="G188" s="9" t="str">
        <f t="shared" si="5"/>
        <v/>
      </c>
    </row>
    <row r="189" spans="5:7">
      <c r="E189" s="9" t="str">
        <f t="shared" si="4"/>
        <v/>
      </c>
      <c r="G189" s="9" t="str">
        <f t="shared" si="5"/>
        <v/>
      </c>
    </row>
    <row r="190" spans="5:7">
      <c r="E190" s="9" t="str">
        <f t="shared" si="4"/>
        <v/>
      </c>
      <c r="G190" s="9" t="str">
        <f t="shared" si="5"/>
        <v/>
      </c>
    </row>
    <row r="191" spans="5:7">
      <c r="E191" s="9" t="str">
        <f t="shared" si="4"/>
        <v/>
      </c>
      <c r="G191" s="9" t="str">
        <f t="shared" si="5"/>
        <v/>
      </c>
    </row>
    <row r="192" spans="5:7">
      <c r="E192" s="9" t="str">
        <f t="shared" si="4"/>
        <v/>
      </c>
      <c r="G192" s="9" t="str">
        <f t="shared" si="5"/>
        <v/>
      </c>
    </row>
    <row r="193" spans="5:7">
      <c r="E193" s="9" t="str">
        <f t="shared" si="4"/>
        <v/>
      </c>
      <c r="G193" s="9" t="str">
        <f t="shared" si="5"/>
        <v/>
      </c>
    </row>
    <row r="194" spans="5:7">
      <c r="E194" s="9" t="str">
        <f t="shared" ref="E194:E257" si="6">IF(C194="","",C194/D194)</f>
        <v/>
      </c>
      <c r="G194" s="9" t="str">
        <f t="shared" ref="G194:G257" si="7">IF(E194="","",E194/F194)</f>
        <v/>
      </c>
    </row>
    <row r="195" spans="5:7">
      <c r="E195" s="9" t="str">
        <f t="shared" si="6"/>
        <v/>
      </c>
      <c r="G195" s="9" t="str">
        <f t="shared" si="7"/>
        <v/>
      </c>
    </row>
    <row r="196" spans="5:7">
      <c r="E196" s="9" t="str">
        <f t="shared" si="6"/>
        <v/>
      </c>
      <c r="G196" s="9" t="str">
        <f t="shared" si="7"/>
        <v/>
      </c>
    </row>
    <row r="197" spans="5:7">
      <c r="E197" s="9" t="str">
        <f t="shared" si="6"/>
        <v/>
      </c>
      <c r="G197" s="9" t="str">
        <f t="shared" si="7"/>
        <v/>
      </c>
    </row>
    <row r="198" spans="5:7">
      <c r="E198" s="9" t="str">
        <f t="shared" si="6"/>
        <v/>
      </c>
      <c r="G198" s="9" t="str">
        <f t="shared" si="7"/>
        <v/>
      </c>
    </row>
    <row r="199" spans="5:7">
      <c r="E199" s="9" t="str">
        <f t="shared" si="6"/>
        <v/>
      </c>
      <c r="G199" s="9" t="str">
        <f t="shared" si="7"/>
        <v/>
      </c>
    </row>
    <row r="200" spans="5:7">
      <c r="E200" s="9" t="str">
        <f t="shared" si="6"/>
        <v/>
      </c>
      <c r="G200" s="9" t="str">
        <f t="shared" si="7"/>
        <v/>
      </c>
    </row>
    <row r="201" spans="5:7">
      <c r="E201" s="9" t="str">
        <f t="shared" si="6"/>
        <v/>
      </c>
      <c r="G201" s="9" t="str">
        <f t="shared" si="7"/>
        <v/>
      </c>
    </row>
    <row r="202" spans="5:7">
      <c r="E202" s="9" t="str">
        <f t="shared" si="6"/>
        <v/>
      </c>
      <c r="G202" s="9" t="str">
        <f t="shared" si="7"/>
        <v/>
      </c>
    </row>
    <row r="203" spans="5:7">
      <c r="E203" s="9" t="str">
        <f t="shared" si="6"/>
        <v/>
      </c>
      <c r="G203" s="9" t="str">
        <f t="shared" si="7"/>
        <v/>
      </c>
    </row>
    <row r="204" spans="5:7">
      <c r="E204" s="9" t="str">
        <f t="shared" si="6"/>
        <v/>
      </c>
      <c r="G204" s="9" t="str">
        <f t="shared" si="7"/>
        <v/>
      </c>
    </row>
    <row r="205" spans="5:7">
      <c r="E205" s="9" t="str">
        <f t="shared" si="6"/>
        <v/>
      </c>
      <c r="G205" s="9" t="str">
        <f t="shared" si="7"/>
        <v/>
      </c>
    </row>
    <row r="206" spans="5:7">
      <c r="E206" s="9" t="str">
        <f t="shared" si="6"/>
        <v/>
      </c>
      <c r="G206" s="9" t="str">
        <f t="shared" si="7"/>
        <v/>
      </c>
    </row>
    <row r="207" spans="5:7">
      <c r="E207" s="9" t="str">
        <f t="shared" si="6"/>
        <v/>
      </c>
      <c r="G207" s="9" t="str">
        <f t="shared" si="7"/>
        <v/>
      </c>
    </row>
    <row r="208" spans="5:7">
      <c r="E208" s="9" t="str">
        <f t="shared" si="6"/>
        <v/>
      </c>
      <c r="G208" s="9" t="str">
        <f t="shared" si="7"/>
        <v/>
      </c>
    </row>
    <row r="209" spans="5:7">
      <c r="E209" s="9" t="str">
        <f t="shared" si="6"/>
        <v/>
      </c>
      <c r="G209" s="9" t="str">
        <f t="shared" si="7"/>
        <v/>
      </c>
    </row>
    <row r="210" spans="5:7">
      <c r="E210" s="9" t="str">
        <f t="shared" si="6"/>
        <v/>
      </c>
      <c r="G210" s="9" t="str">
        <f t="shared" si="7"/>
        <v/>
      </c>
    </row>
    <row r="211" spans="5:7">
      <c r="E211" s="9" t="str">
        <f t="shared" si="6"/>
        <v/>
      </c>
      <c r="G211" s="9" t="str">
        <f t="shared" si="7"/>
        <v/>
      </c>
    </row>
    <row r="212" spans="5:7">
      <c r="E212" s="9" t="str">
        <f t="shared" si="6"/>
        <v/>
      </c>
      <c r="G212" s="9" t="str">
        <f t="shared" si="7"/>
        <v/>
      </c>
    </row>
    <row r="213" spans="5:7">
      <c r="E213" s="9" t="str">
        <f t="shared" si="6"/>
        <v/>
      </c>
      <c r="G213" s="9" t="str">
        <f t="shared" si="7"/>
        <v/>
      </c>
    </row>
    <row r="214" spans="5:7">
      <c r="E214" s="9" t="str">
        <f t="shared" si="6"/>
        <v/>
      </c>
      <c r="G214" s="9" t="str">
        <f t="shared" si="7"/>
        <v/>
      </c>
    </row>
    <row r="215" spans="5:7">
      <c r="E215" s="9" t="str">
        <f t="shared" si="6"/>
        <v/>
      </c>
      <c r="G215" s="9" t="str">
        <f t="shared" si="7"/>
        <v/>
      </c>
    </row>
    <row r="216" spans="5:7">
      <c r="E216" s="9" t="str">
        <f t="shared" si="6"/>
        <v/>
      </c>
      <c r="G216" s="9" t="str">
        <f t="shared" si="7"/>
        <v/>
      </c>
    </row>
    <row r="217" spans="5:7">
      <c r="E217" s="9" t="str">
        <f t="shared" si="6"/>
        <v/>
      </c>
      <c r="G217" s="9" t="str">
        <f t="shared" si="7"/>
        <v/>
      </c>
    </row>
    <row r="218" spans="5:7">
      <c r="E218" s="9" t="str">
        <f t="shared" si="6"/>
        <v/>
      </c>
      <c r="G218" s="9" t="str">
        <f t="shared" si="7"/>
        <v/>
      </c>
    </row>
    <row r="219" spans="5:7">
      <c r="E219" s="9" t="str">
        <f t="shared" si="6"/>
        <v/>
      </c>
      <c r="G219" s="9" t="str">
        <f t="shared" si="7"/>
        <v/>
      </c>
    </row>
    <row r="220" spans="5:7">
      <c r="E220" s="9" t="str">
        <f t="shared" si="6"/>
        <v/>
      </c>
      <c r="G220" s="9" t="str">
        <f t="shared" si="7"/>
        <v/>
      </c>
    </row>
    <row r="221" spans="5:7">
      <c r="E221" s="9" t="str">
        <f t="shared" si="6"/>
        <v/>
      </c>
      <c r="G221" s="9" t="str">
        <f t="shared" si="7"/>
        <v/>
      </c>
    </row>
    <row r="222" spans="5:7">
      <c r="E222" s="9" t="str">
        <f t="shared" si="6"/>
        <v/>
      </c>
      <c r="G222" s="9" t="str">
        <f t="shared" si="7"/>
        <v/>
      </c>
    </row>
    <row r="223" spans="5:7">
      <c r="E223" s="9" t="str">
        <f t="shared" si="6"/>
        <v/>
      </c>
      <c r="G223" s="9" t="str">
        <f t="shared" si="7"/>
        <v/>
      </c>
    </row>
    <row r="224" spans="5:7">
      <c r="E224" s="9" t="str">
        <f t="shared" si="6"/>
        <v/>
      </c>
      <c r="G224" s="9" t="str">
        <f t="shared" si="7"/>
        <v/>
      </c>
    </row>
    <row r="225" spans="5:7">
      <c r="E225" s="9" t="str">
        <f t="shared" si="6"/>
        <v/>
      </c>
      <c r="G225" s="9" t="str">
        <f t="shared" si="7"/>
        <v/>
      </c>
    </row>
    <row r="226" spans="5:7">
      <c r="E226" s="9" t="str">
        <f t="shared" si="6"/>
        <v/>
      </c>
      <c r="G226" s="9" t="str">
        <f t="shared" si="7"/>
        <v/>
      </c>
    </row>
    <row r="227" spans="5:7">
      <c r="E227" s="9" t="str">
        <f t="shared" si="6"/>
        <v/>
      </c>
      <c r="G227" s="9" t="str">
        <f t="shared" si="7"/>
        <v/>
      </c>
    </row>
    <row r="228" spans="5:7">
      <c r="E228" s="9" t="str">
        <f t="shared" si="6"/>
        <v/>
      </c>
      <c r="G228" s="9" t="str">
        <f t="shared" si="7"/>
        <v/>
      </c>
    </row>
    <row r="229" spans="5:7">
      <c r="E229" s="9" t="str">
        <f t="shared" si="6"/>
        <v/>
      </c>
      <c r="G229" s="9" t="str">
        <f t="shared" si="7"/>
        <v/>
      </c>
    </row>
    <row r="230" spans="5:7">
      <c r="E230" s="9" t="str">
        <f t="shared" si="6"/>
        <v/>
      </c>
      <c r="G230" s="9" t="str">
        <f t="shared" si="7"/>
        <v/>
      </c>
    </row>
    <row r="231" spans="5:7">
      <c r="E231" s="9" t="str">
        <f t="shared" si="6"/>
        <v/>
      </c>
      <c r="G231" s="9" t="str">
        <f t="shared" si="7"/>
        <v/>
      </c>
    </row>
    <row r="232" spans="5:7">
      <c r="E232" s="9" t="str">
        <f t="shared" si="6"/>
        <v/>
      </c>
      <c r="G232" s="9" t="str">
        <f t="shared" si="7"/>
        <v/>
      </c>
    </row>
    <row r="233" spans="5:7">
      <c r="E233" s="9" t="str">
        <f t="shared" si="6"/>
        <v/>
      </c>
      <c r="G233" s="9" t="str">
        <f t="shared" si="7"/>
        <v/>
      </c>
    </row>
    <row r="234" spans="5:7">
      <c r="E234" s="9" t="str">
        <f t="shared" si="6"/>
        <v/>
      </c>
      <c r="G234" s="9" t="str">
        <f t="shared" si="7"/>
        <v/>
      </c>
    </row>
    <row r="235" spans="5:7">
      <c r="E235" s="9" t="str">
        <f t="shared" si="6"/>
        <v/>
      </c>
      <c r="G235" s="9" t="str">
        <f t="shared" si="7"/>
        <v/>
      </c>
    </row>
    <row r="236" spans="5:7">
      <c r="E236" s="9" t="str">
        <f t="shared" si="6"/>
        <v/>
      </c>
      <c r="G236" s="9" t="str">
        <f t="shared" si="7"/>
        <v/>
      </c>
    </row>
    <row r="237" spans="5:7">
      <c r="E237" s="9" t="str">
        <f t="shared" si="6"/>
        <v/>
      </c>
      <c r="G237" s="9" t="str">
        <f t="shared" si="7"/>
        <v/>
      </c>
    </row>
    <row r="238" spans="5:7">
      <c r="E238" s="9" t="str">
        <f t="shared" si="6"/>
        <v/>
      </c>
      <c r="G238" s="9" t="str">
        <f t="shared" si="7"/>
        <v/>
      </c>
    </row>
    <row r="239" spans="5:7">
      <c r="E239" s="9" t="str">
        <f t="shared" si="6"/>
        <v/>
      </c>
      <c r="G239" s="9" t="str">
        <f t="shared" si="7"/>
        <v/>
      </c>
    </row>
    <row r="240" spans="5:7">
      <c r="E240" s="9" t="str">
        <f t="shared" si="6"/>
        <v/>
      </c>
      <c r="G240" s="9" t="str">
        <f t="shared" si="7"/>
        <v/>
      </c>
    </row>
    <row r="241" spans="5:7">
      <c r="E241" s="9" t="str">
        <f t="shared" si="6"/>
        <v/>
      </c>
      <c r="G241" s="9" t="str">
        <f t="shared" si="7"/>
        <v/>
      </c>
    </row>
    <row r="242" spans="5:7">
      <c r="E242" s="9" t="str">
        <f t="shared" si="6"/>
        <v/>
      </c>
      <c r="G242" s="9" t="str">
        <f t="shared" si="7"/>
        <v/>
      </c>
    </row>
    <row r="243" spans="5:7">
      <c r="E243" s="9" t="str">
        <f t="shared" si="6"/>
        <v/>
      </c>
      <c r="G243" s="9" t="str">
        <f t="shared" si="7"/>
        <v/>
      </c>
    </row>
    <row r="244" spans="5:7">
      <c r="E244" s="9" t="str">
        <f t="shared" si="6"/>
        <v/>
      </c>
      <c r="G244" s="9" t="str">
        <f t="shared" si="7"/>
        <v/>
      </c>
    </row>
    <row r="245" spans="5:7">
      <c r="E245" s="9" t="str">
        <f t="shared" si="6"/>
        <v/>
      </c>
      <c r="G245" s="9" t="str">
        <f t="shared" si="7"/>
        <v/>
      </c>
    </row>
    <row r="246" spans="5:7">
      <c r="E246" s="9" t="str">
        <f t="shared" si="6"/>
        <v/>
      </c>
      <c r="G246" s="9" t="str">
        <f t="shared" si="7"/>
        <v/>
      </c>
    </row>
    <row r="247" spans="5:7">
      <c r="E247" s="9" t="str">
        <f t="shared" si="6"/>
        <v/>
      </c>
      <c r="G247" s="9" t="str">
        <f t="shared" si="7"/>
        <v/>
      </c>
    </row>
    <row r="248" spans="5:7">
      <c r="E248" s="9" t="str">
        <f t="shared" si="6"/>
        <v/>
      </c>
      <c r="G248" s="9" t="str">
        <f t="shared" si="7"/>
        <v/>
      </c>
    </row>
    <row r="249" spans="5:7">
      <c r="E249" s="9" t="str">
        <f t="shared" si="6"/>
        <v/>
      </c>
      <c r="G249" s="9" t="str">
        <f t="shared" si="7"/>
        <v/>
      </c>
    </row>
    <row r="250" spans="5:7">
      <c r="E250" s="9" t="str">
        <f t="shared" si="6"/>
        <v/>
      </c>
      <c r="G250" s="9" t="str">
        <f t="shared" si="7"/>
        <v/>
      </c>
    </row>
    <row r="251" spans="5:7">
      <c r="E251" s="9" t="str">
        <f t="shared" si="6"/>
        <v/>
      </c>
      <c r="G251" s="9" t="str">
        <f t="shared" si="7"/>
        <v/>
      </c>
    </row>
    <row r="252" spans="5:7">
      <c r="E252" s="9" t="str">
        <f t="shared" si="6"/>
        <v/>
      </c>
      <c r="G252" s="9" t="str">
        <f t="shared" si="7"/>
        <v/>
      </c>
    </row>
    <row r="253" spans="5:7">
      <c r="E253" s="9" t="str">
        <f t="shared" si="6"/>
        <v/>
      </c>
      <c r="G253" s="9" t="str">
        <f t="shared" si="7"/>
        <v/>
      </c>
    </row>
    <row r="254" spans="5:7">
      <c r="E254" s="9" t="str">
        <f t="shared" si="6"/>
        <v/>
      </c>
      <c r="G254" s="9" t="str">
        <f t="shared" si="7"/>
        <v/>
      </c>
    </row>
    <row r="255" spans="5:7">
      <c r="E255" s="9" t="str">
        <f t="shared" si="6"/>
        <v/>
      </c>
      <c r="G255" s="9" t="str">
        <f t="shared" si="7"/>
        <v/>
      </c>
    </row>
    <row r="256" spans="5:7">
      <c r="E256" s="9" t="str">
        <f t="shared" si="6"/>
        <v/>
      </c>
      <c r="G256" s="9" t="str">
        <f t="shared" si="7"/>
        <v/>
      </c>
    </row>
    <row r="257" spans="5:7">
      <c r="E257" s="9" t="str">
        <f t="shared" si="6"/>
        <v/>
      </c>
      <c r="G257" s="9" t="str">
        <f t="shared" si="7"/>
        <v/>
      </c>
    </row>
    <row r="258" spans="5:7">
      <c r="E258" s="9" t="str">
        <f t="shared" ref="E258:E321" si="8">IF(C258="","",C258/D258)</f>
        <v/>
      </c>
      <c r="G258" s="9" t="str">
        <f t="shared" ref="G258:G321" si="9">IF(E258="","",E258/F258)</f>
        <v/>
      </c>
    </row>
    <row r="259" spans="5:7">
      <c r="E259" s="9" t="str">
        <f t="shared" si="8"/>
        <v/>
      </c>
      <c r="G259" s="9" t="str">
        <f t="shared" si="9"/>
        <v/>
      </c>
    </row>
    <row r="260" spans="5:7">
      <c r="E260" s="9" t="str">
        <f t="shared" si="8"/>
        <v/>
      </c>
      <c r="G260" s="9" t="str">
        <f t="shared" si="9"/>
        <v/>
      </c>
    </row>
    <row r="261" spans="5:7">
      <c r="E261" s="9" t="str">
        <f t="shared" si="8"/>
        <v/>
      </c>
      <c r="G261" s="9" t="str">
        <f t="shared" si="9"/>
        <v/>
      </c>
    </row>
    <row r="262" spans="5:7">
      <c r="E262" s="9" t="str">
        <f t="shared" si="8"/>
        <v/>
      </c>
      <c r="G262" s="9" t="str">
        <f t="shared" si="9"/>
        <v/>
      </c>
    </row>
    <row r="263" spans="5:7">
      <c r="E263" s="9" t="str">
        <f t="shared" si="8"/>
        <v/>
      </c>
      <c r="G263" s="9" t="str">
        <f t="shared" si="9"/>
        <v/>
      </c>
    </row>
    <row r="264" spans="5:7">
      <c r="E264" s="9" t="str">
        <f t="shared" si="8"/>
        <v/>
      </c>
      <c r="G264" s="9" t="str">
        <f t="shared" si="9"/>
        <v/>
      </c>
    </row>
    <row r="265" spans="5:7">
      <c r="E265" s="9" t="str">
        <f t="shared" si="8"/>
        <v/>
      </c>
      <c r="G265" s="9" t="str">
        <f t="shared" si="9"/>
        <v/>
      </c>
    </row>
    <row r="266" spans="5:7">
      <c r="E266" s="9" t="str">
        <f t="shared" si="8"/>
        <v/>
      </c>
      <c r="G266" s="9" t="str">
        <f t="shared" si="9"/>
        <v/>
      </c>
    </row>
    <row r="267" spans="5:7">
      <c r="E267" s="9" t="str">
        <f t="shared" si="8"/>
        <v/>
      </c>
      <c r="G267" s="9" t="str">
        <f t="shared" si="9"/>
        <v/>
      </c>
    </row>
    <row r="268" spans="5:7">
      <c r="E268" s="9" t="str">
        <f t="shared" si="8"/>
        <v/>
      </c>
      <c r="G268" s="9" t="str">
        <f t="shared" si="9"/>
        <v/>
      </c>
    </row>
    <row r="269" spans="5:7">
      <c r="E269" s="9" t="str">
        <f t="shared" si="8"/>
        <v/>
      </c>
      <c r="G269" s="9" t="str">
        <f t="shared" si="9"/>
        <v/>
      </c>
    </row>
    <row r="270" spans="5:7">
      <c r="E270" s="9" t="str">
        <f t="shared" si="8"/>
        <v/>
      </c>
      <c r="G270" s="9" t="str">
        <f t="shared" si="9"/>
        <v/>
      </c>
    </row>
    <row r="271" spans="5:7">
      <c r="E271" s="9" t="str">
        <f t="shared" si="8"/>
        <v/>
      </c>
      <c r="G271" s="9" t="str">
        <f t="shared" si="9"/>
        <v/>
      </c>
    </row>
    <row r="272" spans="5:7">
      <c r="E272" s="9" t="str">
        <f t="shared" si="8"/>
        <v/>
      </c>
      <c r="G272" s="9" t="str">
        <f t="shared" si="9"/>
        <v/>
      </c>
    </row>
    <row r="273" spans="5:7">
      <c r="E273" s="9" t="str">
        <f t="shared" si="8"/>
        <v/>
      </c>
      <c r="G273" s="9" t="str">
        <f t="shared" si="9"/>
        <v/>
      </c>
    </row>
    <row r="274" spans="5:7">
      <c r="E274" s="9" t="str">
        <f t="shared" si="8"/>
        <v/>
      </c>
      <c r="G274" s="9" t="str">
        <f t="shared" si="9"/>
        <v/>
      </c>
    </row>
    <row r="275" spans="5:7">
      <c r="E275" s="9" t="str">
        <f t="shared" si="8"/>
        <v/>
      </c>
      <c r="G275" s="9" t="str">
        <f t="shared" si="9"/>
        <v/>
      </c>
    </row>
    <row r="276" spans="5:7">
      <c r="E276" s="9" t="str">
        <f t="shared" si="8"/>
        <v/>
      </c>
      <c r="G276" s="9" t="str">
        <f t="shared" si="9"/>
        <v/>
      </c>
    </row>
    <row r="277" spans="5:7">
      <c r="E277" s="9" t="str">
        <f t="shared" si="8"/>
        <v/>
      </c>
      <c r="G277" s="9" t="str">
        <f t="shared" si="9"/>
        <v/>
      </c>
    </row>
    <row r="278" spans="5:7">
      <c r="E278" s="9" t="str">
        <f t="shared" si="8"/>
        <v/>
      </c>
      <c r="G278" s="9" t="str">
        <f t="shared" si="9"/>
        <v/>
      </c>
    </row>
    <row r="279" spans="5:7">
      <c r="E279" s="9" t="str">
        <f t="shared" si="8"/>
        <v/>
      </c>
      <c r="G279" s="9" t="str">
        <f t="shared" si="9"/>
        <v/>
      </c>
    </row>
    <row r="280" spans="5:7">
      <c r="E280" s="9" t="str">
        <f t="shared" si="8"/>
        <v/>
      </c>
      <c r="G280" s="9" t="str">
        <f t="shared" si="9"/>
        <v/>
      </c>
    </row>
    <row r="281" spans="5:7">
      <c r="E281" s="9" t="str">
        <f t="shared" si="8"/>
        <v/>
      </c>
      <c r="G281" s="9" t="str">
        <f t="shared" si="9"/>
        <v/>
      </c>
    </row>
    <row r="282" spans="5:7">
      <c r="E282" s="9" t="str">
        <f t="shared" si="8"/>
        <v/>
      </c>
      <c r="G282" s="9" t="str">
        <f t="shared" si="9"/>
        <v/>
      </c>
    </row>
    <row r="283" spans="5:7">
      <c r="E283" s="9" t="str">
        <f t="shared" si="8"/>
        <v/>
      </c>
      <c r="G283" s="9" t="str">
        <f t="shared" si="9"/>
        <v/>
      </c>
    </row>
    <row r="284" spans="5:7">
      <c r="E284" s="9" t="str">
        <f t="shared" si="8"/>
        <v/>
      </c>
      <c r="G284" s="9" t="str">
        <f t="shared" si="9"/>
        <v/>
      </c>
    </row>
    <row r="285" spans="5:7">
      <c r="E285" s="9" t="str">
        <f t="shared" si="8"/>
        <v/>
      </c>
      <c r="G285" s="9" t="str">
        <f t="shared" si="9"/>
        <v/>
      </c>
    </row>
    <row r="286" spans="5:7">
      <c r="E286" s="9" t="str">
        <f t="shared" si="8"/>
        <v/>
      </c>
      <c r="G286" s="9" t="str">
        <f t="shared" si="9"/>
        <v/>
      </c>
    </row>
    <row r="287" spans="5:7">
      <c r="E287" s="9" t="str">
        <f t="shared" si="8"/>
        <v/>
      </c>
      <c r="G287" s="9" t="str">
        <f t="shared" si="9"/>
        <v/>
      </c>
    </row>
    <row r="288" spans="5:7">
      <c r="E288" s="9" t="str">
        <f t="shared" si="8"/>
        <v/>
      </c>
      <c r="G288" s="9" t="str">
        <f t="shared" si="9"/>
        <v/>
      </c>
    </row>
    <row r="289" spans="5:7">
      <c r="E289" s="9" t="str">
        <f t="shared" si="8"/>
        <v/>
      </c>
      <c r="G289" s="9" t="str">
        <f t="shared" si="9"/>
        <v/>
      </c>
    </row>
    <row r="290" spans="5:7">
      <c r="E290" s="9" t="str">
        <f t="shared" si="8"/>
        <v/>
      </c>
      <c r="G290" s="9" t="str">
        <f t="shared" si="9"/>
        <v/>
      </c>
    </row>
    <row r="291" spans="5:7">
      <c r="E291" s="9" t="str">
        <f t="shared" si="8"/>
        <v/>
      </c>
      <c r="G291" s="9" t="str">
        <f t="shared" si="9"/>
        <v/>
      </c>
    </row>
    <row r="292" spans="5:7">
      <c r="E292" s="9" t="str">
        <f t="shared" si="8"/>
        <v/>
      </c>
      <c r="G292" s="9" t="str">
        <f t="shared" si="9"/>
        <v/>
      </c>
    </row>
    <row r="293" spans="5:7">
      <c r="E293" s="9" t="str">
        <f t="shared" si="8"/>
        <v/>
      </c>
      <c r="G293" s="9" t="str">
        <f t="shared" si="9"/>
        <v/>
      </c>
    </row>
    <row r="294" spans="5:7">
      <c r="E294" s="9" t="str">
        <f t="shared" si="8"/>
        <v/>
      </c>
      <c r="G294" s="9" t="str">
        <f t="shared" si="9"/>
        <v/>
      </c>
    </row>
    <row r="295" spans="5:7">
      <c r="E295" s="9" t="str">
        <f t="shared" si="8"/>
        <v/>
      </c>
      <c r="G295" s="9" t="str">
        <f t="shared" si="9"/>
        <v/>
      </c>
    </row>
    <row r="296" spans="5:7">
      <c r="E296" s="9" t="str">
        <f t="shared" si="8"/>
        <v/>
      </c>
      <c r="G296" s="9" t="str">
        <f t="shared" si="9"/>
        <v/>
      </c>
    </row>
    <row r="297" spans="5:7">
      <c r="E297" s="9" t="str">
        <f t="shared" si="8"/>
        <v/>
      </c>
      <c r="G297" s="9" t="str">
        <f t="shared" si="9"/>
        <v/>
      </c>
    </row>
    <row r="298" spans="5:7">
      <c r="E298" s="9" t="str">
        <f t="shared" si="8"/>
        <v/>
      </c>
      <c r="G298" s="9" t="str">
        <f t="shared" si="9"/>
        <v/>
      </c>
    </row>
    <row r="299" spans="5:7">
      <c r="E299" s="9" t="str">
        <f t="shared" si="8"/>
        <v/>
      </c>
      <c r="G299" s="9" t="str">
        <f t="shared" si="9"/>
        <v/>
      </c>
    </row>
    <row r="300" spans="5:7">
      <c r="E300" s="9" t="str">
        <f t="shared" si="8"/>
        <v/>
      </c>
      <c r="G300" s="9" t="str">
        <f t="shared" si="9"/>
        <v/>
      </c>
    </row>
    <row r="301" spans="5:7">
      <c r="E301" s="9" t="str">
        <f t="shared" si="8"/>
        <v/>
      </c>
      <c r="G301" s="9" t="str">
        <f t="shared" si="9"/>
        <v/>
      </c>
    </row>
    <row r="302" spans="5:7">
      <c r="E302" s="9" t="str">
        <f t="shared" si="8"/>
        <v/>
      </c>
      <c r="G302" s="9" t="str">
        <f t="shared" si="9"/>
        <v/>
      </c>
    </row>
    <row r="303" spans="5:7">
      <c r="E303" s="9" t="str">
        <f t="shared" si="8"/>
        <v/>
      </c>
      <c r="G303" s="9" t="str">
        <f t="shared" si="9"/>
        <v/>
      </c>
    </row>
    <row r="304" spans="5:7">
      <c r="E304" s="9" t="str">
        <f t="shared" si="8"/>
        <v/>
      </c>
      <c r="G304" s="9" t="str">
        <f t="shared" si="9"/>
        <v/>
      </c>
    </row>
    <row r="305" spans="5:7">
      <c r="E305" s="9" t="str">
        <f t="shared" si="8"/>
        <v/>
      </c>
      <c r="G305" s="9" t="str">
        <f t="shared" si="9"/>
        <v/>
      </c>
    </row>
    <row r="306" spans="5:7">
      <c r="E306" s="9" t="str">
        <f t="shared" si="8"/>
        <v/>
      </c>
      <c r="G306" s="9" t="str">
        <f t="shared" si="9"/>
        <v/>
      </c>
    </row>
    <row r="307" spans="5:7">
      <c r="E307" s="9" t="str">
        <f t="shared" si="8"/>
        <v/>
      </c>
      <c r="G307" s="9" t="str">
        <f t="shared" si="9"/>
        <v/>
      </c>
    </row>
    <row r="308" spans="5:7">
      <c r="E308" s="9" t="str">
        <f t="shared" si="8"/>
        <v/>
      </c>
      <c r="G308" s="9" t="str">
        <f t="shared" si="9"/>
        <v/>
      </c>
    </row>
    <row r="309" spans="5:7">
      <c r="E309" s="9" t="str">
        <f t="shared" si="8"/>
        <v/>
      </c>
      <c r="G309" s="9" t="str">
        <f t="shared" si="9"/>
        <v/>
      </c>
    </row>
    <row r="310" spans="5:7">
      <c r="E310" s="9" t="str">
        <f t="shared" si="8"/>
        <v/>
      </c>
      <c r="G310" s="9" t="str">
        <f t="shared" si="9"/>
        <v/>
      </c>
    </row>
    <row r="311" spans="5:7">
      <c r="E311" s="9" t="str">
        <f t="shared" si="8"/>
        <v/>
      </c>
      <c r="G311" s="9" t="str">
        <f t="shared" si="9"/>
        <v/>
      </c>
    </row>
    <row r="312" spans="5:7">
      <c r="E312" s="9" t="str">
        <f t="shared" si="8"/>
        <v/>
      </c>
      <c r="G312" s="9" t="str">
        <f t="shared" si="9"/>
        <v/>
      </c>
    </row>
    <row r="313" spans="5:7">
      <c r="E313" s="9" t="str">
        <f t="shared" si="8"/>
        <v/>
      </c>
      <c r="G313" s="9" t="str">
        <f t="shared" si="9"/>
        <v/>
      </c>
    </row>
    <row r="314" spans="5:7">
      <c r="E314" s="9" t="str">
        <f t="shared" si="8"/>
        <v/>
      </c>
      <c r="G314" s="9" t="str">
        <f t="shared" si="9"/>
        <v/>
      </c>
    </row>
    <row r="315" spans="5:7">
      <c r="E315" s="9" t="str">
        <f t="shared" si="8"/>
        <v/>
      </c>
      <c r="G315" s="9" t="str">
        <f t="shared" si="9"/>
        <v/>
      </c>
    </row>
    <row r="316" spans="5:7">
      <c r="E316" s="9" t="str">
        <f t="shared" si="8"/>
        <v/>
      </c>
      <c r="G316" s="9" t="str">
        <f t="shared" si="9"/>
        <v/>
      </c>
    </row>
    <row r="317" spans="5:7">
      <c r="E317" s="9" t="str">
        <f t="shared" si="8"/>
        <v/>
      </c>
      <c r="G317" s="9" t="str">
        <f t="shared" si="9"/>
        <v/>
      </c>
    </row>
    <row r="318" spans="5:7">
      <c r="E318" s="9" t="str">
        <f t="shared" si="8"/>
        <v/>
      </c>
      <c r="G318" s="9" t="str">
        <f t="shared" si="9"/>
        <v/>
      </c>
    </row>
    <row r="319" spans="5:7">
      <c r="E319" s="9" t="str">
        <f t="shared" si="8"/>
        <v/>
      </c>
      <c r="G319" s="9" t="str">
        <f t="shared" si="9"/>
        <v/>
      </c>
    </row>
    <row r="320" spans="5:7">
      <c r="E320" s="9" t="str">
        <f t="shared" si="8"/>
        <v/>
      </c>
      <c r="G320" s="9" t="str">
        <f t="shared" si="9"/>
        <v/>
      </c>
    </row>
    <row r="321" spans="5:7">
      <c r="E321" s="9" t="str">
        <f t="shared" si="8"/>
        <v/>
      </c>
      <c r="G321" s="9" t="str">
        <f t="shared" si="9"/>
        <v/>
      </c>
    </row>
    <row r="322" spans="5:7">
      <c r="E322" s="9" t="str">
        <f t="shared" ref="E322:E385" si="10">IF(C322="","",C322/D322)</f>
        <v/>
      </c>
      <c r="G322" s="9" t="str">
        <f t="shared" ref="G322:G385" si="11">IF(E322="","",E322/F322)</f>
        <v/>
      </c>
    </row>
    <row r="323" spans="5:7">
      <c r="E323" s="9" t="str">
        <f t="shared" si="10"/>
        <v/>
      </c>
      <c r="G323" s="9" t="str">
        <f t="shared" si="11"/>
        <v/>
      </c>
    </row>
    <row r="324" spans="5:7">
      <c r="E324" s="9" t="str">
        <f t="shared" si="10"/>
        <v/>
      </c>
      <c r="G324" s="9" t="str">
        <f t="shared" si="11"/>
        <v/>
      </c>
    </row>
    <row r="325" spans="5:7">
      <c r="E325" s="9" t="str">
        <f t="shared" si="10"/>
        <v/>
      </c>
      <c r="G325" s="9" t="str">
        <f t="shared" si="11"/>
        <v/>
      </c>
    </row>
    <row r="326" spans="5:7">
      <c r="E326" s="9" t="str">
        <f t="shared" si="10"/>
        <v/>
      </c>
      <c r="G326" s="9" t="str">
        <f t="shared" si="11"/>
        <v/>
      </c>
    </row>
    <row r="327" spans="5:7">
      <c r="E327" s="9" t="str">
        <f t="shared" si="10"/>
        <v/>
      </c>
      <c r="G327" s="9" t="str">
        <f t="shared" si="11"/>
        <v/>
      </c>
    </row>
    <row r="328" spans="5:7">
      <c r="E328" s="9" t="str">
        <f t="shared" si="10"/>
        <v/>
      </c>
      <c r="G328" s="9" t="str">
        <f t="shared" si="11"/>
        <v/>
      </c>
    </row>
    <row r="329" spans="5:7">
      <c r="E329" s="9" t="str">
        <f t="shared" si="10"/>
        <v/>
      </c>
      <c r="G329" s="9" t="str">
        <f t="shared" si="11"/>
        <v/>
      </c>
    </row>
    <row r="330" spans="5:7">
      <c r="E330" s="9" t="str">
        <f t="shared" si="10"/>
        <v/>
      </c>
      <c r="G330" s="9" t="str">
        <f t="shared" si="11"/>
        <v/>
      </c>
    </row>
    <row r="331" spans="5:7">
      <c r="E331" s="9" t="str">
        <f t="shared" si="10"/>
        <v/>
      </c>
      <c r="G331" s="9" t="str">
        <f t="shared" si="11"/>
        <v/>
      </c>
    </row>
    <row r="332" spans="5:7">
      <c r="E332" s="9" t="str">
        <f t="shared" si="10"/>
        <v/>
      </c>
      <c r="G332" s="9" t="str">
        <f t="shared" si="11"/>
        <v/>
      </c>
    </row>
    <row r="333" spans="5:7">
      <c r="E333" s="9" t="str">
        <f t="shared" si="10"/>
        <v/>
      </c>
      <c r="G333" s="9" t="str">
        <f t="shared" si="11"/>
        <v/>
      </c>
    </row>
    <row r="334" spans="5:7">
      <c r="E334" s="9" t="str">
        <f t="shared" si="10"/>
        <v/>
      </c>
      <c r="G334" s="9" t="str">
        <f t="shared" si="11"/>
        <v/>
      </c>
    </row>
    <row r="335" spans="5:7">
      <c r="E335" s="9" t="str">
        <f t="shared" si="10"/>
        <v/>
      </c>
      <c r="G335" s="9" t="str">
        <f t="shared" si="11"/>
        <v/>
      </c>
    </row>
    <row r="336" spans="5:7">
      <c r="E336" s="9" t="str">
        <f t="shared" si="10"/>
        <v/>
      </c>
      <c r="G336" s="9" t="str">
        <f t="shared" si="11"/>
        <v/>
      </c>
    </row>
    <row r="337" spans="5:7">
      <c r="E337" s="9" t="str">
        <f t="shared" si="10"/>
        <v/>
      </c>
      <c r="G337" s="9" t="str">
        <f t="shared" si="11"/>
        <v/>
      </c>
    </row>
    <row r="338" spans="5:7">
      <c r="E338" s="9" t="str">
        <f t="shared" si="10"/>
        <v/>
      </c>
      <c r="G338" s="9" t="str">
        <f t="shared" si="11"/>
        <v/>
      </c>
    </row>
    <row r="339" spans="5:7">
      <c r="E339" s="9" t="str">
        <f t="shared" si="10"/>
        <v/>
      </c>
      <c r="G339" s="9" t="str">
        <f t="shared" si="11"/>
        <v/>
      </c>
    </row>
    <row r="340" spans="5:7">
      <c r="E340" s="9" t="str">
        <f t="shared" si="10"/>
        <v/>
      </c>
      <c r="G340" s="9" t="str">
        <f t="shared" si="11"/>
        <v/>
      </c>
    </row>
    <row r="341" spans="5:7">
      <c r="E341" s="9" t="str">
        <f t="shared" si="10"/>
        <v/>
      </c>
      <c r="G341" s="9" t="str">
        <f t="shared" si="11"/>
        <v/>
      </c>
    </row>
    <row r="342" spans="5:7">
      <c r="E342" s="9" t="str">
        <f t="shared" si="10"/>
        <v/>
      </c>
      <c r="G342" s="9" t="str">
        <f t="shared" si="11"/>
        <v/>
      </c>
    </row>
    <row r="343" spans="5:7">
      <c r="E343" s="9" t="str">
        <f t="shared" si="10"/>
        <v/>
      </c>
      <c r="G343" s="9" t="str">
        <f t="shared" si="11"/>
        <v/>
      </c>
    </row>
    <row r="344" spans="5:7">
      <c r="E344" s="9" t="str">
        <f t="shared" si="10"/>
        <v/>
      </c>
      <c r="G344" s="9" t="str">
        <f t="shared" si="11"/>
        <v/>
      </c>
    </row>
    <row r="345" spans="5:7">
      <c r="E345" s="9" t="str">
        <f t="shared" si="10"/>
        <v/>
      </c>
      <c r="G345" s="9" t="str">
        <f t="shared" si="11"/>
        <v/>
      </c>
    </row>
    <row r="346" spans="5:7">
      <c r="E346" s="9" t="str">
        <f t="shared" si="10"/>
        <v/>
      </c>
      <c r="G346" s="9" t="str">
        <f t="shared" si="11"/>
        <v/>
      </c>
    </row>
    <row r="347" spans="5:7">
      <c r="E347" s="9" t="str">
        <f t="shared" si="10"/>
        <v/>
      </c>
      <c r="G347" s="9" t="str">
        <f t="shared" si="11"/>
        <v/>
      </c>
    </row>
    <row r="348" spans="5:7">
      <c r="E348" s="9" t="str">
        <f t="shared" si="10"/>
        <v/>
      </c>
      <c r="G348" s="9" t="str">
        <f t="shared" si="11"/>
        <v/>
      </c>
    </row>
    <row r="349" spans="5:7">
      <c r="E349" s="9" t="str">
        <f t="shared" si="10"/>
        <v/>
      </c>
      <c r="G349" s="9" t="str">
        <f t="shared" si="11"/>
        <v/>
      </c>
    </row>
    <row r="350" spans="5:7">
      <c r="E350" s="9" t="str">
        <f t="shared" si="10"/>
        <v/>
      </c>
      <c r="G350" s="9" t="str">
        <f t="shared" si="11"/>
        <v/>
      </c>
    </row>
    <row r="351" spans="5:7">
      <c r="E351" s="9" t="str">
        <f t="shared" si="10"/>
        <v/>
      </c>
      <c r="G351" s="9" t="str">
        <f t="shared" si="11"/>
        <v/>
      </c>
    </row>
    <row r="352" spans="5:7">
      <c r="E352" s="9" t="str">
        <f t="shared" si="10"/>
        <v/>
      </c>
      <c r="G352" s="9" t="str">
        <f t="shared" si="11"/>
        <v/>
      </c>
    </row>
    <row r="353" spans="5:7">
      <c r="E353" s="9" t="str">
        <f t="shared" si="10"/>
        <v/>
      </c>
      <c r="G353" s="9" t="str">
        <f t="shared" si="11"/>
        <v/>
      </c>
    </row>
    <row r="354" spans="5:7">
      <c r="E354" s="9" t="str">
        <f t="shared" si="10"/>
        <v/>
      </c>
      <c r="G354" s="9" t="str">
        <f t="shared" si="11"/>
        <v/>
      </c>
    </row>
    <row r="355" spans="5:7">
      <c r="E355" s="9" t="str">
        <f t="shared" si="10"/>
        <v/>
      </c>
      <c r="G355" s="9" t="str">
        <f t="shared" si="11"/>
        <v/>
      </c>
    </row>
    <row r="356" spans="5:7">
      <c r="E356" s="9" t="str">
        <f t="shared" si="10"/>
        <v/>
      </c>
      <c r="G356" s="9" t="str">
        <f t="shared" si="11"/>
        <v/>
      </c>
    </row>
    <row r="357" spans="5:7">
      <c r="E357" s="9" t="str">
        <f t="shared" si="10"/>
        <v/>
      </c>
      <c r="G357" s="9" t="str">
        <f t="shared" si="11"/>
        <v/>
      </c>
    </row>
    <row r="358" spans="5:7">
      <c r="E358" s="9" t="str">
        <f t="shared" si="10"/>
        <v/>
      </c>
      <c r="G358" s="9" t="str">
        <f t="shared" si="11"/>
        <v/>
      </c>
    </row>
    <row r="359" spans="5:7">
      <c r="E359" s="9" t="str">
        <f t="shared" si="10"/>
        <v/>
      </c>
      <c r="G359" s="9" t="str">
        <f t="shared" si="11"/>
        <v/>
      </c>
    </row>
    <row r="360" spans="5:7">
      <c r="E360" s="9" t="str">
        <f t="shared" si="10"/>
        <v/>
      </c>
      <c r="G360" s="9" t="str">
        <f t="shared" si="11"/>
        <v/>
      </c>
    </row>
    <row r="361" spans="5:7">
      <c r="E361" s="9" t="str">
        <f t="shared" si="10"/>
        <v/>
      </c>
      <c r="G361" s="9" t="str">
        <f t="shared" si="11"/>
        <v/>
      </c>
    </row>
    <row r="362" spans="5:7">
      <c r="E362" s="9" t="str">
        <f t="shared" si="10"/>
        <v/>
      </c>
      <c r="G362" s="9" t="str">
        <f t="shared" si="11"/>
        <v/>
      </c>
    </row>
    <row r="363" spans="5:7">
      <c r="E363" s="9" t="str">
        <f t="shared" si="10"/>
        <v/>
      </c>
      <c r="G363" s="9" t="str">
        <f t="shared" si="11"/>
        <v/>
      </c>
    </row>
    <row r="364" spans="5:7">
      <c r="E364" s="9" t="str">
        <f t="shared" si="10"/>
        <v/>
      </c>
      <c r="G364" s="9" t="str">
        <f t="shared" si="11"/>
        <v/>
      </c>
    </row>
    <row r="365" spans="5:7">
      <c r="E365" s="9" t="str">
        <f t="shared" si="10"/>
        <v/>
      </c>
      <c r="G365" s="9" t="str">
        <f t="shared" si="11"/>
        <v/>
      </c>
    </row>
    <row r="366" spans="5:7">
      <c r="E366" s="9" t="str">
        <f t="shared" si="10"/>
        <v/>
      </c>
      <c r="G366" s="9" t="str">
        <f t="shared" si="11"/>
        <v/>
      </c>
    </row>
    <row r="367" spans="5:7">
      <c r="E367" s="9" t="str">
        <f t="shared" si="10"/>
        <v/>
      </c>
      <c r="G367" s="9" t="str">
        <f t="shared" si="11"/>
        <v/>
      </c>
    </row>
    <row r="368" spans="5:7">
      <c r="E368" s="9" t="str">
        <f t="shared" si="10"/>
        <v/>
      </c>
      <c r="G368" s="9" t="str">
        <f t="shared" si="11"/>
        <v/>
      </c>
    </row>
    <row r="369" spans="5:7">
      <c r="E369" s="9" t="str">
        <f t="shared" si="10"/>
        <v/>
      </c>
      <c r="G369" s="9" t="str">
        <f t="shared" si="11"/>
        <v/>
      </c>
    </row>
    <row r="370" spans="5:7">
      <c r="E370" s="9" t="str">
        <f t="shared" si="10"/>
        <v/>
      </c>
      <c r="G370" s="9" t="str">
        <f t="shared" si="11"/>
        <v/>
      </c>
    </row>
    <row r="371" spans="5:7">
      <c r="E371" s="9" t="str">
        <f t="shared" si="10"/>
        <v/>
      </c>
      <c r="G371" s="9" t="str">
        <f t="shared" si="11"/>
        <v/>
      </c>
    </row>
    <row r="372" spans="5:7">
      <c r="E372" s="9" t="str">
        <f t="shared" si="10"/>
        <v/>
      </c>
      <c r="G372" s="9" t="str">
        <f t="shared" si="11"/>
        <v/>
      </c>
    </row>
    <row r="373" spans="5:7">
      <c r="E373" s="9" t="str">
        <f t="shared" si="10"/>
        <v/>
      </c>
      <c r="G373" s="9" t="str">
        <f t="shared" si="11"/>
        <v/>
      </c>
    </row>
    <row r="374" spans="5:7">
      <c r="E374" s="9" t="str">
        <f t="shared" si="10"/>
        <v/>
      </c>
      <c r="G374" s="9" t="str">
        <f t="shared" si="11"/>
        <v/>
      </c>
    </row>
    <row r="375" spans="5:7">
      <c r="E375" s="9" t="str">
        <f t="shared" si="10"/>
        <v/>
      </c>
      <c r="G375" s="9" t="str">
        <f t="shared" si="11"/>
        <v/>
      </c>
    </row>
    <row r="376" spans="5:7">
      <c r="E376" s="9" t="str">
        <f t="shared" si="10"/>
        <v/>
      </c>
      <c r="G376" s="9" t="str">
        <f t="shared" si="11"/>
        <v/>
      </c>
    </row>
    <row r="377" spans="5:7">
      <c r="E377" s="9" t="str">
        <f t="shared" si="10"/>
        <v/>
      </c>
      <c r="G377" s="9" t="str">
        <f t="shared" si="11"/>
        <v/>
      </c>
    </row>
    <row r="378" spans="5:7">
      <c r="E378" s="9" t="str">
        <f t="shared" si="10"/>
        <v/>
      </c>
      <c r="G378" s="9" t="str">
        <f t="shared" si="11"/>
        <v/>
      </c>
    </row>
    <row r="379" spans="5:7">
      <c r="E379" s="9" t="str">
        <f t="shared" si="10"/>
        <v/>
      </c>
      <c r="G379" s="9" t="str">
        <f t="shared" si="11"/>
        <v/>
      </c>
    </row>
    <row r="380" spans="5:7">
      <c r="E380" s="9" t="str">
        <f t="shared" si="10"/>
        <v/>
      </c>
      <c r="G380" s="9" t="str">
        <f t="shared" si="11"/>
        <v/>
      </c>
    </row>
    <row r="381" spans="5:7">
      <c r="E381" s="9" t="str">
        <f t="shared" si="10"/>
        <v/>
      </c>
      <c r="G381" s="9" t="str">
        <f t="shared" si="11"/>
        <v/>
      </c>
    </row>
    <row r="382" spans="5:7">
      <c r="E382" s="9" t="str">
        <f t="shared" si="10"/>
        <v/>
      </c>
      <c r="G382" s="9" t="str">
        <f t="shared" si="11"/>
        <v/>
      </c>
    </row>
    <row r="383" spans="5:7">
      <c r="E383" s="9" t="str">
        <f t="shared" si="10"/>
        <v/>
      </c>
      <c r="G383" s="9" t="str">
        <f t="shared" si="11"/>
        <v/>
      </c>
    </row>
    <row r="384" spans="5:7">
      <c r="E384" s="9" t="str">
        <f t="shared" si="10"/>
        <v/>
      </c>
      <c r="G384" s="9" t="str">
        <f t="shared" si="11"/>
        <v/>
      </c>
    </row>
    <row r="385" spans="5:7">
      <c r="E385" s="9" t="str">
        <f t="shared" si="10"/>
        <v/>
      </c>
      <c r="G385" s="9" t="str">
        <f t="shared" si="11"/>
        <v/>
      </c>
    </row>
    <row r="386" spans="5:7">
      <c r="E386" s="9" t="str">
        <f t="shared" ref="E386:E449" si="12">IF(C386="","",C386/D386)</f>
        <v/>
      </c>
      <c r="G386" s="9" t="str">
        <f t="shared" ref="G386:G449" si="13">IF(E386="","",E386/F386)</f>
        <v/>
      </c>
    </row>
    <row r="387" spans="5:7">
      <c r="E387" s="9" t="str">
        <f t="shared" si="12"/>
        <v/>
      </c>
      <c r="G387" s="9" t="str">
        <f t="shared" si="13"/>
        <v/>
      </c>
    </row>
    <row r="388" spans="5:7">
      <c r="E388" s="9" t="str">
        <f t="shared" si="12"/>
        <v/>
      </c>
      <c r="G388" s="9" t="str">
        <f t="shared" si="13"/>
        <v/>
      </c>
    </row>
    <row r="389" spans="5:7">
      <c r="E389" s="9" t="str">
        <f t="shared" si="12"/>
        <v/>
      </c>
      <c r="G389" s="9" t="str">
        <f t="shared" si="13"/>
        <v/>
      </c>
    </row>
    <row r="390" spans="5:7">
      <c r="E390" s="9" t="str">
        <f t="shared" si="12"/>
        <v/>
      </c>
      <c r="G390" s="9" t="str">
        <f t="shared" si="13"/>
        <v/>
      </c>
    </row>
    <row r="391" spans="5:7">
      <c r="E391" s="9" t="str">
        <f t="shared" si="12"/>
        <v/>
      </c>
      <c r="G391" s="9" t="str">
        <f t="shared" si="13"/>
        <v/>
      </c>
    </row>
    <row r="392" spans="5:7">
      <c r="E392" s="9" t="str">
        <f t="shared" si="12"/>
        <v/>
      </c>
      <c r="G392" s="9" t="str">
        <f t="shared" si="13"/>
        <v/>
      </c>
    </row>
    <row r="393" spans="5:7">
      <c r="E393" s="9" t="str">
        <f t="shared" si="12"/>
        <v/>
      </c>
      <c r="G393" s="9" t="str">
        <f t="shared" si="13"/>
        <v/>
      </c>
    </row>
    <row r="394" spans="5:7">
      <c r="E394" s="9" t="str">
        <f t="shared" si="12"/>
        <v/>
      </c>
      <c r="G394" s="9" t="str">
        <f t="shared" si="13"/>
        <v/>
      </c>
    </row>
    <row r="395" spans="5:7">
      <c r="E395" s="9" t="str">
        <f t="shared" si="12"/>
        <v/>
      </c>
      <c r="G395" s="9" t="str">
        <f t="shared" si="13"/>
        <v/>
      </c>
    </row>
    <row r="396" spans="5:7">
      <c r="E396" s="9" t="str">
        <f t="shared" si="12"/>
        <v/>
      </c>
      <c r="G396" s="9" t="str">
        <f t="shared" si="13"/>
        <v/>
      </c>
    </row>
    <row r="397" spans="5:7">
      <c r="E397" s="9" t="str">
        <f t="shared" si="12"/>
        <v/>
      </c>
      <c r="G397" s="9" t="str">
        <f t="shared" si="13"/>
        <v/>
      </c>
    </row>
    <row r="398" spans="5:7">
      <c r="E398" s="9" t="str">
        <f t="shared" si="12"/>
        <v/>
      </c>
      <c r="G398" s="9" t="str">
        <f t="shared" si="13"/>
        <v/>
      </c>
    </row>
    <row r="399" spans="5:7">
      <c r="E399" s="9" t="str">
        <f t="shared" si="12"/>
        <v/>
      </c>
      <c r="G399" s="9" t="str">
        <f t="shared" si="13"/>
        <v/>
      </c>
    </row>
    <row r="400" spans="5:7">
      <c r="E400" s="9" t="str">
        <f t="shared" si="12"/>
        <v/>
      </c>
      <c r="G400" s="9" t="str">
        <f t="shared" si="13"/>
        <v/>
      </c>
    </row>
    <row r="401" spans="5:7">
      <c r="E401" s="9" t="str">
        <f t="shared" si="12"/>
        <v/>
      </c>
      <c r="G401" s="9" t="str">
        <f t="shared" si="13"/>
        <v/>
      </c>
    </row>
    <row r="402" spans="5:7">
      <c r="E402" s="9" t="str">
        <f t="shared" si="12"/>
        <v/>
      </c>
      <c r="G402" s="9" t="str">
        <f t="shared" si="13"/>
        <v/>
      </c>
    </row>
    <row r="403" spans="5:7">
      <c r="E403" s="9" t="str">
        <f t="shared" si="12"/>
        <v/>
      </c>
      <c r="G403" s="9" t="str">
        <f t="shared" si="13"/>
        <v/>
      </c>
    </row>
    <row r="404" spans="5:7">
      <c r="E404" s="9" t="str">
        <f t="shared" si="12"/>
        <v/>
      </c>
      <c r="G404" s="9" t="str">
        <f t="shared" si="13"/>
        <v/>
      </c>
    </row>
    <row r="405" spans="5:7">
      <c r="E405" s="9" t="str">
        <f t="shared" si="12"/>
        <v/>
      </c>
      <c r="G405" s="9" t="str">
        <f t="shared" si="13"/>
        <v/>
      </c>
    </row>
    <row r="406" spans="5:7">
      <c r="E406" s="9" t="str">
        <f t="shared" si="12"/>
        <v/>
      </c>
      <c r="G406" s="9" t="str">
        <f t="shared" si="13"/>
        <v/>
      </c>
    </row>
    <row r="407" spans="5:7">
      <c r="E407" s="9" t="str">
        <f t="shared" si="12"/>
        <v/>
      </c>
      <c r="G407" s="9" t="str">
        <f t="shared" si="13"/>
        <v/>
      </c>
    </row>
    <row r="408" spans="5:7">
      <c r="E408" s="9" t="str">
        <f t="shared" si="12"/>
        <v/>
      </c>
      <c r="G408" s="9" t="str">
        <f t="shared" si="13"/>
        <v/>
      </c>
    </row>
    <row r="409" spans="5:7">
      <c r="E409" s="9" t="str">
        <f t="shared" si="12"/>
        <v/>
      </c>
      <c r="G409" s="9" t="str">
        <f t="shared" si="13"/>
        <v/>
      </c>
    </row>
    <row r="410" spans="5:7">
      <c r="E410" s="9" t="str">
        <f t="shared" si="12"/>
        <v/>
      </c>
      <c r="G410" s="9" t="str">
        <f t="shared" si="13"/>
        <v/>
      </c>
    </row>
    <row r="411" spans="5:7">
      <c r="E411" s="9" t="str">
        <f t="shared" si="12"/>
        <v/>
      </c>
      <c r="G411" s="9" t="str">
        <f t="shared" si="13"/>
        <v/>
      </c>
    </row>
    <row r="412" spans="5:7">
      <c r="E412" s="9" t="str">
        <f t="shared" si="12"/>
        <v/>
      </c>
      <c r="G412" s="9" t="str">
        <f t="shared" si="13"/>
        <v/>
      </c>
    </row>
    <row r="413" spans="5:7">
      <c r="E413" s="9" t="str">
        <f t="shared" si="12"/>
        <v/>
      </c>
      <c r="G413" s="9" t="str">
        <f t="shared" si="13"/>
        <v/>
      </c>
    </row>
    <row r="414" spans="5:7">
      <c r="E414" s="9" t="str">
        <f t="shared" si="12"/>
        <v/>
      </c>
      <c r="G414" s="9" t="str">
        <f t="shared" si="13"/>
        <v/>
      </c>
    </row>
    <row r="415" spans="5:7">
      <c r="E415" s="9" t="str">
        <f t="shared" si="12"/>
        <v/>
      </c>
      <c r="G415" s="9" t="str">
        <f t="shared" si="13"/>
        <v/>
      </c>
    </row>
    <row r="416" spans="5:7">
      <c r="E416" s="9" t="str">
        <f t="shared" si="12"/>
        <v/>
      </c>
      <c r="G416" s="9" t="str">
        <f t="shared" si="13"/>
        <v/>
      </c>
    </row>
    <row r="417" spans="5:7">
      <c r="E417" s="9" t="str">
        <f t="shared" si="12"/>
        <v/>
      </c>
      <c r="G417" s="9" t="str">
        <f t="shared" si="13"/>
        <v/>
      </c>
    </row>
    <row r="418" spans="5:7">
      <c r="E418" s="9" t="str">
        <f t="shared" si="12"/>
        <v/>
      </c>
      <c r="G418" s="9" t="str">
        <f t="shared" si="13"/>
        <v/>
      </c>
    </row>
    <row r="419" spans="5:7">
      <c r="E419" s="9" t="str">
        <f t="shared" si="12"/>
        <v/>
      </c>
      <c r="G419" s="9" t="str">
        <f t="shared" si="13"/>
        <v/>
      </c>
    </row>
    <row r="420" spans="5:7">
      <c r="E420" s="9" t="str">
        <f t="shared" si="12"/>
        <v/>
      </c>
      <c r="G420" s="9" t="str">
        <f t="shared" si="13"/>
        <v/>
      </c>
    </row>
    <row r="421" spans="5:7">
      <c r="E421" s="9" t="str">
        <f t="shared" si="12"/>
        <v/>
      </c>
      <c r="G421" s="9" t="str">
        <f t="shared" si="13"/>
        <v/>
      </c>
    </row>
    <row r="422" spans="5:7">
      <c r="E422" s="9" t="str">
        <f t="shared" si="12"/>
        <v/>
      </c>
      <c r="G422" s="9" t="str">
        <f t="shared" si="13"/>
        <v/>
      </c>
    </row>
    <row r="423" spans="5:7">
      <c r="E423" s="9" t="str">
        <f t="shared" si="12"/>
        <v/>
      </c>
      <c r="G423" s="9" t="str">
        <f t="shared" si="13"/>
        <v/>
      </c>
    </row>
    <row r="424" spans="5:7">
      <c r="E424" s="9" t="str">
        <f t="shared" si="12"/>
        <v/>
      </c>
      <c r="G424" s="9" t="str">
        <f t="shared" si="13"/>
        <v/>
      </c>
    </row>
    <row r="425" spans="5:7">
      <c r="E425" s="9" t="str">
        <f t="shared" si="12"/>
        <v/>
      </c>
      <c r="G425" s="9" t="str">
        <f t="shared" si="13"/>
        <v/>
      </c>
    </row>
    <row r="426" spans="5:7">
      <c r="E426" s="9" t="str">
        <f t="shared" si="12"/>
        <v/>
      </c>
      <c r="G426" s="9" t="str">
        <f t="shared" si="13"/>
        <v/>
      </c>
    </row>
    <row r="427" spans="5:7">
      <c r="E427" s="9" t="str">
        <f t="shared" si="12"/>
        <v/>
      </c>
      <c r="G427" s="9" t="str">
        <f t="shared" si="13"/>
        <v/>
      </c>
    </row>
    <row r="428" spans="5:7">
      <c r="E428" s="9" t="str">
        <f t="shared" si="12"/>
        <v/>
      </c>
      <c r="G428" s="9" t="str">
        <f t="shared" si="13"/>
        <v/>
      </c>
    </row>
    <row r="429" spans="5:7">
      <c r="E429" s="9" t="str">
        <f t="shared" si="12"/>
        <v/>
      </c>
      <c r="G429" s="9" t="str">
        <f t="shared" si="13"/>
        <v/>
      </c>
    </row>
    <row r="430" spans="5:7">
      <c r="E430" s="9" t="str">
        <f t="shared" si="12"/>
        <v/>
      </c>
      <c r="G430" s="9" t="str">
        <f t="shared" si="13"/>
        <v/>
      </c>
    </row>
    <row r="431" spans="5:7">
      <c r="E431" s="9" t="str">
        <f t="shared" si="12"/>
        <v/>
      </c>
      <c r="G431" s="9" t="str">
        <f t="shared" si="13"/>
        <v/>
      </c>
    </row>
    <row r="432" spans="5:7">
      <c r="E432" s="9" t="str">
        <f t="shared" si="12"/>
        <v/>
      </c>
      <c r="G432" s="9" t="str">
        <f t="shared" si="13"/>
        <v/>
      </c>
    </row>
    <row r="433" spans="5:7">
      <c r="E433" s="9" t="str">
        <f t="shared" si="12"/>
        <v/>
      </c>
      <c r="G433" s="9" t="str">
        <f t="shared" si="13"/>
        <v/>
      </c>
    </row>
    <row r="434" spans="5:7">
      <c r="E434" s="9" t="str">
        <f t="shared" si="12"/>
        <v/>
      </c>
      <c r="G434" s="9" t="str">
        <f t="shared" si="13"/>
        <v/>
      </c>
    </row>
    <row r="435" spans="5:7">
      <c r="E435" s="9" t="str">
        <f t="shared" si="12"/>
        <v/>
      </c>
      <c r="G435" s="9" t="str">
        <f t="shared" si="13"/>
        <v/>
      </c>
    </row>
    <row r="436" spans="5:7">
      <c r="E436" s="9" t="str">
        <f t="shared" si="12"/>
        <v/>
      </c>
      <c r="G436" s="9" t="str">
        <f t="shared" si="13"/>
        <v/>
      </c>
    </row>
    <row r="437" spans="5:7">
      <c r="E437" s="9" t="str">
        <f t="shared" si="12"/>
        <v/>
      </c>
      <c r="G437" s="9" t="str">
        <f t="shared" si="13"/>
        <v/>
      </c>
    </row>
    <row r="438" spans="5:7">
      <c r="E438" s="9" t="str">
        <f t="shared" si="12"/>
        <v/>
      </c>
      <c r="G438" s="9" t="str">
        <f t="shared" si="13"/>
        <v/>
      </c>
    </row>
    <row r="439" spans="5:7">
      <c r="E439" s="9" t="str">
        <f t="shared" si="12"/>
        <v/>
      </c>
      <c r="G439" s="9" t="str">
        <f t="shared" si="13"/>
        <v/>
      </c>
    </row>
    <row r="440" spans="5:7">
      <c r="E440" s="9" t="str">
        <f t="shared" si="12"/>
        <v/>
      </c>
      <c r="G440" s="9" t="str">
        <f t="shared" si="13"/>
        <v/>
      </c>
    </row>
    <row r="441" spans="5:7">
      <c r="E441" s="9" t="str">
        <f t="shared" si="12"/>
        <v/>
      </c>
      <c r="G441" s="9" t="str">
        <f t="shared" si="13"/>
        <v/>
      </c>
    </row>
    <row r="442" spans="5:7">
      <c r="E442" s="9" t="str">
        <f t="shared" si="12"/>
        <v/>
      </c>
      <c r="G442" s="9" t="str">
        <f t="shared" si="13"/>
        <v/>
      </c>
    </row>
    <row r="443" spans="5:7">
      <c r="E443" s="9" t="str">
        <f t="shared" si="12"/>
        <v/>
      </c>
      <c r="G443" s="9" t="str">
        <f t="shared" si="13"/>
        <v/>
      </c>
    </row>
    <row r="444" spans="5:7">
      <c r="E444" s="9" t="str">
        <f t="shared" si="12"/>
        <v/>
      </c>
      <c r="G444" s="9" t="str">
        <f t="shared" si="13"/>
        <v/>
      </c>
    </row>
    <row r="445" spans="5:7">
      <c r="E445" s="9" t="str">
        <f t="shared" si="12"/>
        <v/>
      </c>
      <c r="G445" s="9" t="str">
        <f t="shared" si="13"/>
        <v/>
      </c>
    </row>
    <row r="446" spans="5:7">
      <c r="E446" s="9" t="str">
        <f t="shared" si="12"/>
        <v/>
      </c>
      <c r="G446" s="9" t="str">
        <f t="shared" si="13"/>
        <v/>
      </c>
    </row>
    <row r="447" spans="5:7">
      <c r="E447" s="9" t="str">
        <f t="shared" si="12"/>
        <v/>
      </c>
      <c r="G447" s="9" t="str">
        <f t="shared" si="13"/>
        <v/>
      </c>
    </row>
    <row r="448" spans="5:7">
      <c r="E448" s="9" t="str">
        <f t="shared" si="12"/>
        <v/>
      </c>
      <c r="G448" s="9" t="str">
        <f t="shared" si="13"/>
        <v/>
      </c>
    </row>
    <row r="449" spans="5:7">
      <c r="E449" s="9" t="str">
        <f t="shared" si="12"/>
        <v/>
      </c>
      <c r="G449" s="9" t="str">
        <f t="shared" si="13"/>
        <v/>
      </c>
    </row>
    <row r="450" spans="5:7">
      <c r="E450" s="9" t="str">
        <f t="shared" ref="E450:E501" si="14">IF(C450="","",C450/D450)</f>
        <v/>
      </c>
      <c r="G450" s="9" t="str">
        <f t="shared" ref="G450:G501" si="15">IF(E450="","",E450/F450)</f>
        <v/>
      </c>
    </row>
    <row r="451" spans="5:7">
      <c r="E451" s="9" t="str">
        <f t="shared" si="14"/>
        <v/>
      </c>
      <c r="G451" s="9" t="str">
        <f t="shared" si="15"/>
        <v/>
      </c>
    </row>
    <row r="452" spans="5:7">
      <c r="E452" s="9" t="str">
        <f t="shared" si="14"/>
        <v/>
      </c>
      <c r="G452" s="9" t="str">
        <f t="shared" si="15"/>
        <v/>
      </c>
    </row>
    <row r="453" spans="5:7">
      <c r="E453" s="9" t="str">
        <f t="shared" si="14"/>
        <v/>
      </c>
      <c r="G453" s="9" t="str">
        <f t="shared" si="15"/>
        <v/>
      </c>
    </row>
    <row r="454" spans="5:7">
      <c r="E454" s="9" t="str">
        <f t="shared" si="14"/>
        <v/>
      </c>
      <c r="G454" s="9" t="str">
        <f t="shared" si="15"/>
        <v/>
      </c>
    </row>
    <row r="455" spans="5:7">
      <c r="E455" s="9" t="str">
        <f t="shared" si="14"/>
        <v/>
      </c>
      <c r="G455" s="9" t="str">
        <f t="shared" si="15"/>
        <v/>
      </c>
    </row>
    <row r="456" spans="5:7">
      <c r="E456" s="9" t="str">
        <f t="shared" si="14"/>
        <v/>
      </c>
      <c r="G456" s="9" t="str">
        <f t="shared" si="15"/>
        <v/>
      </c>
    </row>
    <row r="457" spans="5:7">
      <c r="E457" s="9" t="str">
        <f t="shared" si="14"/>
        <v/>
      </c>
      <c r="G457" s="9" t="str">
        <f t="shared" si="15"/>
        <v/>
      </c>
    </row>
    <row r="458" spans="5:7">
      <c r="E458" s="9" t="str">
        <f t="shared" si="14"/>
        <v/>
      </c>
      <c r="G458" s="9" t="str">
        <f t="shared" si="15"/>
        <v/>
      </c>
    </row>
    <row r="459" spans="5:7">
      <c r="E459" s="9" t="str">
        <f t="shared" si="14"/>
        <v/>
      </c>
      <c r="G459" s="9" t="str">
        <f t="shared" si="15"/>
        <v/>
      </c>
    </row>
    <row r="460" spans="5:7">
      <c r="E460" s="9" t="str">
        <f t="shared" si="14"/>
        <v/>
      </c>
      <c r="G460" s="9" t="str">
        <f t="shared" si="15"/>
        <v/>
      </c>
    </row>
    <row r="461" spans="5:7">
      <c r="E461" s="9" t="str">
        <f t="shared" si="14"/>
        <v/>
      </c>
      <c r="G461" s="9" t="str">
        <f t="shared" si="15"/>
        <v/>
      </c>
    </row>
    <row r="462" spans="5:7">
      <c r="E462" s="9" t="str">
        <f t="shared" si="14"/>
        <v/>
      </c>
      <c r="G462" s="9" t="str">
        <f t="shared" si="15"/>
        <v/>
      </c>
    </row>
    <row r="463" spans="5:7">
      <c r="E463" s="9" t="str">
        <f t="shared" si="14"/>
        <v/>
      </c>
      <c r="G463" s="9" t="str">
        <f t="shared" si="15"/>
        <v/>
      </c>
    </row>
    <row r="464" spans="5:7">
      <c r="E464" s="9" t="str">
        <f t="shared" si="14"/>
        <v/>
      </c>
      <c r="G464" s="9" t="str">
        <f t="shared" si="15"/>
        <v/>
      </c>
    </row>
    <row r="465" spans="5:7">
      <c r="E465" s="9" t="str">
        <f t="shared" si="14"/>
        <v/>
      </c>
      <c r="G465" s="9" t="str">
        <f t="shared" si="15"/>
        <v/>
      </c>
    </row>
    <row r="466" spans="5:7">
      <c r="E466" s="9" t="str">
        <f t="shared" si="14"/>
        <v/>
      </c>
      <c r="G466" s="9" t="str">
        <f t="shared" si="15"/>
        <v/>
      </c>
    </row>
    <row r="467" spans="5:7">
      <c r="E467" s="9" t="str">
        <f t="shared" si="14"/>
        <v/>
      </c>
      <c r="G467" s="9" t="str">
        <f t="shared" si="15"/>
        <v/>
      </c>
    </row>
    <row r="468" spans="5:7">
      <c r="E468" s="9" t="str">
        <f t="shared" si="14"/>
        <v/>
      </c>
      <c r="G468" s="9" t="str">
        <f t="shared" si="15"/>
        <v/>
      </c>
    </row>
    <row r="469" spans="5:7">
      <c r="E469" s="9" t="str">
        <f t="shared" si="14"/>
        <v/>
      </c>
      <c r="G469" s="9" t="str">
        <f t="shared" si="15"/>
        <v/>
      </c>
    </row>
    <row r="470" spans="5:7">
      <c r="E470" s="9" t="str">
        <f t="shared" si="14"/>
        <v/>
      </c>
      <c r="G470" s="9" t="str">
        <f t="shared" si="15"/>
        <v/>
      </c>
    </row>
    <row r="471" spans="5:7">
      <c r="E471" s="9" t="str">
        <f t="shared" si="14"/>
        <v/>
      </c>
      <c r="G471" s="9" t="str">
        <f t="shared" si="15"/>
        <v/>
      </c>
    </row>
    <row r="472" spans="5:7">
      <c r="E472" s="9" t="str">
        <f t="shared" si="14"/>
        <v/>
      </c>
      <c r="G472" s="9" t="str">
        <f t="shared" si="15"/>
        <v/>
      </c>
    </row>
    <row r="473" spans="5:7">
      <c r="E473" s="9" t="str">
        <f t="shared" si="14"/>
        <v/>
      </c>
      <c r="G473" s="9" t="str">
        <f t="shared" si="15"/>
        <v/>
      </c>
    </row>
    <row r="474" spans="5:7">
      <c r="E474" s="9" t="str">
        <f t="shared" si="14"/>
        <v/>
      </c>
      <c r="G474" s="9" t="str">
        <f t="shared" si="15"/>
        <v/>
      </c>
    </row>
    <row r="475" spans="5:7">
      <c r="E475" s="9" t="str">
        <f t="shared" si="14"/>
        <v/>
      </c>
      <c r="G475" s="9" t="str">
        <f t="shared" si="15"/>
        <v/>
      </c>
    </row>
    <row r="476" spans="5:7">
      <c r="E476" s="9" t="str">
        <f t="shared" si="14"/>
        <v/>
      </c>
      <c r="G476" s="9" t="str">
        <f t="shared" si="15"/>
        <v/>
      </c>
    </row>
    <row r="477" spans="5:7">
      <c r="E477" s="9" t="str">
        <f t="shared" si="14"/>
        <v/>
      </c>
      <c r="G477" s="9" t="str">
        <f t="shared" si="15"/>
        <v/>
      </c>
    </row>
    <row r="478" spans="5:7">
      <c r="E478" s="9" t="str">
        <f t="shared" si="14"/>
        <v/>
      </c>
      <c r="G478" s="9" t="str">
        <f t="shared" si="15"/>
        <v/>
      </c>
    </row>
    <row r="479" spans="5:7">
      <c r="E479" s="9" t="str">
        <f t="shared" si="14"/>
        <v/>
      </c>
      <c r="G479" s="9" t="str">
        <f t="shared" si="15"/>
        <v/>
      </c>
    </row>
    <row r="480" spans="5:7">
      <c r="E480" s="9" t="str">
        <f t="shared" si="14"/>
        <v/>
      </c>
      <c r="G480" s="9" t="str">
        <f t="shared" si="15"/>
        <v/>
      </c>
    </row>
    <row r="481" spans="5:7">
      <c r="E481" s="9" t="str">
        <f t="shared" si="14"/>
        <v/>
      </c>
      <c r="G481" s="9" t="str">
        <f t="shared" si="15"/>
        <v/>
      </c>
    </row>
    <row r="482" spans="5:7">
      <c r="E482" s="9" t="str">
        <f t="shared" si="14"/>
        <v/>
      </c>
      <c r="G482" s="9" t="str">
        <f t="shared" si="15"/>
        <v/>
      </c>
    </row>
    <row r="483" spans="5:7">
      <c r="E483" s="9" t="str">
        <f t="shared" si="14"/>
        <v/>
      </c>
      <c r="G483" s="9" t="str">
        <f t="shared" si="15"/>
        <v/>
      </c>
    </row>
    <row r="484" spans="5:7">
      <c r="E484" s="9" t="str">
        <f t="shared" si="14"/>
        <v/>
      </c>
      <c r="G484" s="9" t="str">
        <f t="shared" si="15"/>
        <v/>
      </c>
    </row>
    <row r="485" spans="5:7">
      <c r="E485" s="9" t="str">
        <f t="shared" si="14"/>
        <v/>
      </c>
      <c r="G485" s="9" t="str">
        <f t="shared" si="15"/>
        <v/>
      </c>
    </row>
    <row r="486" spans="5:7">
      <c r="E486" s="9" t="str">
        <f t="shared" si="14"/>
        <v/>
      </c>
      <c r="G486" s="9" t="str">
        <f t="shared" si="15"/>
        <v/>
      </c>
    </row>
    <row r="487" spans="5:7">
      <c r="E487" s="9" t="str">
        <f t="shared" si="14"/>
        <v/>
      </c>
      <c r="G487" s="9" t="str">
        <f t="shared" si="15"/>
        <v/>
      </c>
    </row>
    <row r="488" spans="5:7">
      <c r="E488" s="9" t="str">
        <f t="shared" si="14"/>
        <v/>
      </c>
      <c r="G488" s="9" t="str">
        <f t="shared" si="15"/>
        <v/>
      </c>
    </row>
    <row r="489" spans="5:7">
      <c r="E489" s="9" t="str">
        <f t="shared" si="14"/>
        <v/>
      </c>
      <c r="G489" s="9" t="str">
        <f t="shared" si="15"/>
        <v/>
      </c>
    </row>
    <row r="490" spans="5:7">
      <c r="E490" s="9" t="str">
        <f t="shared" si="14"/>
        <v/>
      </c>
      <c r="G490" s="9" t="str">
        <f t="shared" si="15"/>
        <v/>
      </c>
    </row>
    <row r="491" spans="5:7">
      <c r="E491" s="9" t="str">
        <f t="shared" si="14"/>
        <v/>
      </c>
      <c r="G491" s="9" t="str">
        <f t="shared" si="15"/>
        <v/>
      </c>
    </row>
    <row r="492" spans="5:7">
      <c r="E492" s="9" t="str">
        <f t="shared" si="14"/>
        <v/>
      </c>
      <c r="G492" s="9" t="str">
        <f t="shared" si="15"/>
        <v/>
      </c>
    </row>
    <row r="493" spans="5:7">
      <c r="E493" s="9" t="str">
        <f t="shared" si="14"/>
        <v/>
      </c>
      <c r="G493" s="9" t="str">
        <f t="shared" si="15"/>
        <v/>
      </c>
    </row>
    <row r="494" spans="5:7">
      <c r="E494" s="9" t="str">
        <f t="shared" si="14"/>
        <v/>
      </c>
      <c r="G494" s="9" t="str">
        <f t="shared" si="15"/>
        <v/>
      </c>
    </row>
    <row r="495" spans="5:7">
      <c r="E495" s="9" t="str">
        <f t="shared" si="14"/>
        <v/>
      </c>
      <c r="G495" s="9" t="str">
        <f t="shared" si="15"/>
        <v/>
      </c>
    </row>
    <row r="496" spans="5:7">
      <c r="E496" s="9" t="str">
        <f t="shared" si="14"/>
        <v/>
      </c>
      <c r="G496" s="9" t="str">
        <f t="shared" si="15"/>
        <v/>
      </c>
    </row>
    <row r="497" spans="5:7">
      <c r="E497" s="9" t="str">
        <f t="shared" si="14"/>
        <v/>
      </c>
      <c r="G497" s="9" t="str">
        <f t="shared" si="15"/>
        <v/>
      </c>
    </row>
    <row r="498" spans="5:7">
      <c r="E498" s="9" t="str">
        <f t="shared" si="14"/>
        <v/>
      </c>
      <c r="G498" s="9" t="str">
        <f t="shared" si="15"/>
        <v/>
      </c>
    </row>
    <row r="499" spans="5:7">
      <c r="E499" s="9" t="str">
        <f t="shared" si="14"/>
        <v/>
      </c>
      <c r="G499" s="9" t="str">
        <f t="shared" si="15"/>
        <v/>
      </c>
    </row>
    <row r="500" spans="5:7">
      <c r="E500" s="9" t="str">
        <f t="shared" si="14"/>
        <v/>
      </c>
      <c r="G500" s="9" t="str">
        <f t="shared" si="15"/>
        <v/>
      </c>
    </row>
    <row r="501" spans="5:7">
      <c r="E501" s="9" t="str">
        <f t="shared" si="14"/>
        <v/>
      </c>
      <c r="G501" s="9" t="str">
        <f t="shared" si="15"/>
        <v/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F21" sqref="F21"/>
    </sheetView>
  </sheetViews>
  <sheetFormatPr defaultColWidth="9" defaultRowHeight="13.5" outlineLevelRow="4" outlineLevelCol="7"/>
  <cols>
    <col min="1" max="1" width="18" customWidth="1"/>
    <col min="2" max="8" width="18" style="2" customWidth="1"/>
  </cols>
  <sheetData>
    <row r="1" spans="1:8">
      <c r="A1" s="1" t="s">
        <v>5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7</v>
      </c>
      <c r="H1" s="4" t="s">
        <v>32</v>
      </c>
    </row>
    <row r="2" spans="1:8">
      <c r="A2" t="s">
        <v>24</v>
      </c>
      <c r="B2" s="2">
        <f>SUMIF(交易记录!B:B,A2,交易记录!E:E)</f>
        <v>302.89</v>
      </c>
      <c r="C2" s="2">
        <f>SUMIF(交易记录!B:B,A2,交易记录!G:G)</f>
        <v>0.438598841296706</v>
      </c>
      <c r="D2" s="6">
        <v>684.6</v>
      </c>
      <c r="E2" s="2">
        <f>IF(D2="","",C2*D2)</f>
        <v>300.264766751725</v>
      </c>
      <c r="F2" s="2">
        <f>IF(SUM(E:E)=0,"",E2/SUM(E:E))</f>
        <v>0.174307418927337</v>
      </c>
      <c r="G2" s="2">
        <v>0.4</v>
      </c>
      <c r="H2" s="2">
        <f>F2-G2</f>
        <v>-0.225692581072663</v>
      </c>
    </row>
    <row r="3" spans="1:8">
      <c r="A3" t="s">
        <v>23</v>
      </c>
      <c r="B3" s="2">
        <f>SUMIF(交易记录!B:B,A3,交易记录!E:E)</f>
        <v>1231.17</v>
      </c>
      <c r="C3" s="2">
        <f>SUMIF(交易记录!B:B,A3,交易记录!G:G)</f>
        <v>4.12780412336461</v>
      </c>
      <c r="D3" s="6">
        <v>292.62</v>
      </c>
      <c r="E3" s="2">
        <f>IF(D3="","",C3*D3)</f>
        <v>1207.87804257895</v>
      </c>
      <c r="F3" s="2">
        <f>IF(SUM(E:E)=0,"",E3/SUM(E:E))</f>
        <v>0.701188175551174</v>
      </c>
      <c r="G3" s="2">
        <v>0.35</v>
      </c>
      <c r="H3" s="2">
        <f>F3-G3</f>
        <v>0.351188175551174</v>
      </c>
    </row>
    <row r="4" spans="1:8">
      <c r="A4" t="s">
        <v>25</v>
      </c>
      <c r="B4" s="2">
        <f>SUMIF(交易记录!B:B,A4,交易记录!E:E)</f>
        <v>130.72</v>
      </c>
      <c r="C4" s="2">
        <f>SUMIF(交易记录!B:B,A4,交易记录!G:G)</f>
        <v>3.52027203482046</v>
      </c>
      <c r="D4" s="6">
        <v>36</v>
      </c>
      <c r="E4" s="2">
        <f>IF(D4="","",C4*D4)</f>
        <v>126.729793253536</v>
      </c>
      <c r="F4" s="2">
        <f>IF(SUM(E:E)=0,"",E4/SUM(E:E))</f>
        <v>0.0735682158189545</v>
      </c>
      <c r="G4" s="2">
        <v>0.15</v>
      </c>
      <c r="H4" s="2">
        <f>F4-G4</f>
        <v>-0.0764317841810455</v>
      </c>
    </row>
    <row r="5" spans="1:8">
      <c r="A5" t="s">
        <v>26</v>
      </c>
      <c r="B5" s="2">
        <f>SUMIF(交易记录!B:B,A5,交易记录!E:E)</f>
        <v>90.99</v>
      </c>
      <c r="C5" s="2">
        <f>SUMIF(交易记录!B:B,A5,交易记录!G:G)</f>
        <v>1.21025518092848</v>
      </c>
      <c r="D5" s="6">
        <v>72.5</v>
      </c>
      <c r="E5" s="2">
        <f>IF(D5="","",C5*D5)</f>
        <v>87.7435006173151</v>
      </c>
      <c r="F5" s="2">
        <f>IF(SUM(E:E)=0,"",E5/SUM(E:E))</f>
        <v>0.0509361897025352</v>
      </c>
      <c r="G5" s="2">
        <v>0.05</v>
      </c>
      <c r="H5" s="2">
        <f>F5-G5</f>
        <v>0.000936189702535228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14" sqref="D14"/>
    </sheetView>
  </sheetViews>
  <sheetFormatPr defaultColWidth="9" defaultRowHeight="13.5" outlineLevelRow="4" outlineLevelCol="6"/>
  <cols>
    <col min="1" max="1" width="18" customWidth="1"/>
    <col min="2" max="5" width="18" style="2" customWidth="1"/>
    <col min="6" max="6" width="18" customWidth="1"/>
    <col min="7" max="7" width="12.625" style="3"/>
  </cols>
  <sheetData>
    <row r="1" spans="1:7">
      <c r="A1" s="1" t="s">
        <v>5</v>
      </c>
      <c r="B1" s="4" t="s">
        <v>6</v>
      </c>
      <c r="C1" s="4" t="s">
        <v>7</v>
      </c>
      <c r="D1" s="4" t="s">
        <v>33</v>
      </c>
      <c r="E1" s="4" t="s">
        <v>34</v>
      </c>
      <c r="F1" s="1" t="s">
        <v>35</v>
      </c>
      <c r="G1" s="5" t="s">
        <v>36</v>
      </c>
    </row>
    <row r="2" spans="1:7">
      <c r="A2" t="str">
        <f>持仓汇总!A2</f>
        <v>VOO</v>
      </c>
      <c r="B2" s="2">
        <f>持仓汇总!F2</f>
        <v>0.174307418927337</v>
      </c>
      <c r="C2" s="2">
        <f>持仓汇总!G2</f>
        <v>0.4</v>
      </c>
      <c r="D2" s="2">
        <f>MAX(0,C2-B2)</f>
        <v>0.225692581072663</v>
      </c>
      <c r="E2" s="2">
        <f>IF(SUM(D2:D5)=0,参数设置!B3*C2,参数设置!B3*D2/SUM(D2:D5))</f>
        <v>2241.05640288036</v>
      </c>
      <c r="F2" t="str">
        <f>IF(D2&gt;0.03,"重点补仓",IF(D2&gt;0,"增加","减少"))</f>
        <v>重点补仓</v>
      </c>
      <c r="G2" s="3">
        <f>E2/参数设置!B2</f>
        <v>287.314923446201</v>
      </c>
    </row>
    <row r="3" spans="1:7">
      <c r="A3" t="str">
        <f>持仓汇总!A3</f>
        <v>QQQM</v>
      </c>
      <c r="B3" s="2">
        <f>持仓汇总!F3</f>
        <v>0.701188175551174</v>
      </c>
      <c r="C3" s="2">
        <f>持仓汇总!G3</f>
        <v>0.35</v>
      </c>
      <c r="D3" s="2">
        <f>MAX(0,C3-B3)</f>
        <v>0</v>
      </c>
      <c r="E3" s="2">
        <f>IF(SUM(D2:D5)=0,参数设置!B3*C3,参数设置!B3*D3/SUM(D2:D5))</f>
        <v>0</v>
      </c>
      <c r="F3" t="str">
        <f>IF(D3&gt;0.03,"重点补仓",IF(D3&gt;0,"增加","减少"))</f>
        <v>减少</v>
      </c>
      <c r="G3" s="3">
        <f>E3/参数设置!B2</f>
        <v>0</v>
      </c>
    </row>
    <row r="4" spans="1:7">
      <c r="A4" t="str">
        <f>持仓汇总!A4</f>
        <v>BOTZ</v>
      </c>
      <c r="B4" s="2">
        <f>持仓汇总!F4</f>
        <v>0.0735682158189545</v>
      </c>
      <c r="C4" s="2">
        <f>持仓汇总!G4</f>
        <v>0.15</v>
      </c>
      <c r="D4" s="2">
        <f>MAX(0,C4-B4)</f>
        <v>0.0764317841810455</v>
      </c>
      <c r="E4" s="2">
        <f>IF(SUM(D2:D5)=0,参数设置!B3*C4,参数设置!B3*D4/SUM(D2:D5))</f>
        <v>758.943597119636</v>
      </c>
      <c r="F4" t="str">
        <f>IF(D4&gt;0.03,"重点补仓",IF(D4&gt;0,"增加","减少"))</f>
        <v>重点补仓</v>
      </c>
      <c r="G4" s="3">
        <f>E4/参数设置!B2</f>
        <v>97.3004611691841</v>
      </c>
    </row>
    <row r="5" spans="1:7">
      <c r="A5" t="str">
        <f>持仓汇总!A5</f>
        <v>TQQQ</v>
      </c>
      <c r="B5" s="2">
        <f>持仓汇总!F5</f>
        <v>0.0509361897025352</v>
      </c>
      <c r="C5" s="2">
        <f>持仓汇总!G5</f>
        <v>0.05</v>
      </c>
      <c r="D5" s="2">
        <f>MAX(0,C5-B5)</f>
        <v>0</v>
      </c>
      <c r="E5" s="2">
        <f>IF(SUM(D2:D5)=0,参数设置!B3*C5,参数设置!B3*D5/SUM(D2:D5))</f>
        <v>0</v>
      </c>
      <c r="F5" t="str">
        <f>IF(D5&gt;0.03,"重点补仓",IF(D5&gt;0,"增加","减少"))</f>
        <v>减少</v>
      </c>
      <c r="G5" s="3">
        <f>E5/参数设置!B2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3.5" outlineLevelRow="4"/>
  <cols>
    <col min="1" max="1" width="18" customWidth="1"/>
  </cols>
  <sheetData>
    <row r="1" spans="1:1">
      <c r="A1" s="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投资仪表盘</vt:lpstr>
      <vt:lpstr>参数设置</vt:lpstr>
      <vt:lpstr>交易记录</vt:lpstr>
      <vt:lpstr>持仓汇总</vt:lpstr>
      <vt:lpstr>本月3000HKD执行计划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11783</cp:lastModifiedBy>
  <dcterms:created xsi:type="dcterms:W3CDTF">2026-07-08T22:16:00Z</dcterms:created>
  <dcterms:modified xsi:type="dcterms:W3CDTF">2026-07-11T02:18:37Z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097FEE6951864C8BB3A3D3C3EB84F775_12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